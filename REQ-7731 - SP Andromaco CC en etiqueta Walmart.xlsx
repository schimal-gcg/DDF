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124226"/>
  <mc:AlternateContent xmlns:mc="http://schemas.openxmlformats.org/markup-compatibility/2006">
    <mc:Choice Requires="x15">
      <x15ac:absPath xmlns:x15ac="http://schemas.microsoft.com/office/spreadsheetml/2010/11/ac" url="https://gcgcia-my.sharepoint.com/personal/rocio_acoltzi_gcg_com_mx/Documents/Documentos/SOPORTE/BASE INSTALADA/ANDROMACO/2026/DDF FINALES PARA ETIQUETAS/CC en etiqueta walmart/"/>
    </mc:Choice>
  </mc:AlternateContent>
  <xr:revisionPtr revIDLastSave="594" documentId="13_ncr:1_{79DF01FD-E89C-4C23-AAAE-EAB7F8446A9F}" xr6:coauthVersionLast="47" xr6:coauthVersionMax="47" xr10:uidLastSave="{C63CF9E7-2466-4020-B32E-358063703A86}"/>
  <bookViews>
    <workbookView xWindow="-120" yWindow="-120" windowWidth="20730" windowHeight="11040" tabRatio="739" firstSheet="1" activeTab="1" xr2:uid="{00000000-000D-0000-FFFF-FFFF00000000}"/>
  </bookViews>
  <sheets>
    <sheet name="Script de Pruebas Integrales" sheetId="2" state="hidden" r:id="rId1"/>
    <sheet name="1.-Script de pruebas" sheetId="24" r:id="rId2"/>
    <sheet name="Análisis" sheetId="18" state="hidden" r:id="rId3"/>
    <sheet name="Análisis de Resultados" sheetId="16" state="hidden" r:id="rId4"/>
    <sheet name="Resumen de Tiempo Estimado" sheetId="14" state="hidden" r:id="rId5"/>
  </sheets>
  <calcPr calcId="191028"/>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0" i="2" l="1"/>
  <c r="N150" i="2"/>
  <c r="C20" i="18"/>
  <c r="D20" i="18"/>
  <c r="E20" i="18"/>
  <c r="B20" i="18"/>
  <c r="Q15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Fernando Angelares Vera</author>
    <author>Autor</author>
  </authors>
  <commentList>
    <comment ref="B7" authorId="0" shapeId="0" xr:uid="{00000000-0006-0000-0000-000002000000}">
      <text>
        <r>
          <rPr>
            <b/>
            <u/>
            <sz val="9"/>
            <color indexed="81"/>
            <rFont val="Tahoma"/>
            <family val="2"/>
          </rPr>
          <t>Fecha Estimada</t>
        </r>
        <r>
          <rPr>
            <b/>
            <sz val="9"/>
            <color indexed="81"/>
            <rFont val="Tahoma"/>
            <family val="2"/>
          </rPr>
          <t xml:space="preserve">
</t>
        </r>
        <r>
          <rPr>
            <sz val="9"/>
            <color indexed="81"/>
            <rFont val="Tahoma"/>
            <family val="2"/>
          </rPr>
          <t xml:space="preserve">Fecha estimada de inicio de la prueba
</t>
        </r>
      </text>
    </comment>
    <comment ref="C7" authorId="0" shapeId="0" xr:uid="{00000000-0006-0000-0000-000003000000}">
      <text>
        <r>
          <rPr>
            <b/>
            <u/>
            <sz val="9"/>
            <color indexed="81"/>
            <rFont val="Tahoma"/>
            <family val="2"/>
          </rPr>
          <t>Tiempo Estimado</t>
        </r>
        <r>
          <rPr>
            <b/>
            <sz val="9"/>
            <color indexed="81"/>
            <rFont val="Tahoma"/>
            <family val="2"/>
          </rPr>
          <t xml:space="preserve">
</t>
        </r>
        <r>
          <rPr>
            <sz val="9"/>
            <color indexed="81"/>
            <rFont val="Tahoma"/>
            <family val="2"/>
          </rPr>
          <t>Tiempo de duración estimafda para la prueba</t>
        </r>
      </text>
    </comment>
    <comment ref="D7" authorId="0" shapeId="0" xr:uid="{00000000-0006-0000-0000-000004000000}">
      <text>
        <r>
          <rPr>
            <b/>
            <u/>
            <sz val="9"/>
            <color indexed="81"/>
            <rFont val="Tahoma"/>
            <family val="2"/>
          </rPr>
          <t>Módulo</t>
        </r>
        <r>
          <rPr>
            <b/>
            <sz val="9"/>
            <color indexed="81"/>
            <rFont val="Tahoma"/>
            <family val="2"/>
          </rPr>
          <t xml:space="preserve">
</t>
        </r>
        <r>
          <rPr>
            <sz val="9"/>
            <color indexed="81"/>
            <rFont val="Tahoma"/>
            <family val="2"/>
          </rPr>
          <t>Módulo principal de la aplicación en el cual se ejecuta la prueba.</t>
        </r>
      </text>
    </comment>
    <comment ref="E7" authorId="0" shapeId="0" xr:uid="{00000000-0006-0000-0000-000005000000}">
      <text>
        <r>
          <rPr>
            <b/>
            <sz val="9"/>
            <color indexed="81"/>
            <rFont val="Tahoma"/>
            <family val="2"/>
          </rPr>
          <t>FLUJO:
Conjunto de procesos o actividades secuenciadas de tal manera que describen un flujo operacional de principio a fin.
Es necesario validar con los usuario clave dichos flujos ya que estos son la base para dar sentido a escenarios reales de la operación del cliente.</t>
        </r>
      </text>
    </comment>
    <comment ref="F7" authorId="1" shapeId="0" xr:uid="{00000000-0006-0000-0000-000006000000}">
      <text>
        <r>
          <rPr>
            <b/>
            <sz val="9"/>
            <color indexed="81"/>
            <rFont val="Tahoma"/>
            <family val="2"/>
          </rPr>
          <t>L1 - Categoría:
Representa el nivel más alto en cuanto a la clasificación de procesos. Dicha clasificación no cambia.
Seleccione la categoría que agrupa el proceso o la actividad a la que pertenece la prueba.</t>
        </r>
      </text>
    </comment>
    <comment ref="G7" authorId="1" shapeId="0" xr:uid="{00000000-0006-0000-0000-000007000000}">
      <text>
        <r>
          <rPr>
            <b/>
            <sz val="9"/>
            <color indexed="81"/>
            <rFont val="Tahoma"/>
            <family val="2"/>
          </rPr>
          <t>L2 - Grupo de Procesos:
Representa el siguiente nivel en cuanto a la clasificación de procesos. Dicha clasificación no cambia.
Seleccione el grupo de proceso que agrupa el proceso o la actividad a la que pertenece la prueba.</t>
        </r>
      </text>
    </comment>
    <comment ref="H7" authorId="1" shapeId="0" xr:uid="{00000000-0006-0000-0000-000008000000}">
      <text>
        <r>
          <rPr>
            <b/>
            <sz val="9"/>
            <color indexed="81"/>
            <rFont val="Tahoma"/>
            <family val="2"/>
          </rPr>
          <t>L3 - Proceso:
El proceso es el siguiente nivel de descomposición posterior al grupo de procesos. El proceso puede incluir variaciones y reprocesamientos adicionalmente a los elementos principales necesarios para lograr el proceso. Dicha clasificación no cambia.
Seleccione el proceso que agrupa la actividad o la prueba.</t>
        </r>
      </text>
    </comment>
    <comment ref="I7" authorId="1" shapeId="0" xr:uid="{00000000-0006-0000-0000-000009000000}">
      <text>
        <r>
          <rPr>
            <b/>
            <sz val="9"/>
            <color indexed="81"/>
            <rFont val="Tahoma"/>
            <family val="2"/>
          </rPr>
          <t>L4 - Actividad:
Indica los eventos clave llevados a cabo al momento de ejecutar un proceso. Dicha clasificación cambia de acuerdo a la organización. Dependiendo de la organización, este nivel de segregación no siempre será necesario.
Seleccione la actividad que agrupa la prueba.</t>
        </r>
      </text>
    </comment>
    <comment ref="J7" authorId="0" shapeId="0" xr:uid="{00000000-0006-0000-0000-00000A000000}">
      <text>
        <r>
          <rPr>
            <b/>
            <sz val="9"/>
            <color indexed="81"/>
            <rFont val="Tahoma"/>
            <family val="2"/>
          </rPr>
          <t>Prueba:</t>
        </r>
        <r>
          <rPr>
            <b/>
            <u/>
            <sz val="9"/>
            <color indexed="81"/>
            <rFont val="Tahoma"/>
            <family val="2"/>
          </rPr>
          <t xml:space="preserve">
</t>
        </r>
        <r>
          <rPr>
            <b/>
            <sz val="9"/>
            <color indexed="81"/>
            <rFont val="Tahoma"/>
            <family val="2"/>
          </rPr>
          <t xml:space="preserve">
Nombre general de la prueba</t>
        </r>
      </text>
    </comment>
    <comment ref="K7" authorId="0" shapeId="0" xr:uid="{00000000-0006-0000-0000-00000B000000}">
      <text>
        <r>
          <rPr>
            <b/>
            <sz val="9"/>
            <color indexed="81"/>
            <rFont val="Tahoma"/>
            <family val="2"/>
          </rPr>
          <t xml:space="preserve">Descripción de la Prueba:
</t>
        </r>
        <r>
          <rPr>
            <b/>
            <u/>
            <sz val="9"/>
            <color indexed="81"/>
            <rFont val="Tahoma"/>
            <family val="2"/>
          </rPr>
          <t xml:space="preserve">
</t>
        </r>
        <r>
          <rPr>
            <b/>
            <sz val="9"/>
            <color indexed="81"/>
            <rFont val="Tahoma"/>
            <family val="2"/>
          </rPr>
          <t>Información detallada con respecto a la prueba incluyendo datos y escenarios.</t>
        </r>
      </text>
    </comment>
    <comment ref="L7" authorId="0" shapeId="0" xr:uid="{00000000-0006-0000-0000-00000C000000}">
      <text>
        <r>
          <rPr>
            <b/>
            <sz val="9"/>
            <color indexed="81"/>
            <rFont val="Tahoma"/>
            <family val="2"/>
          </rPr>
          <t xml:space="preserve">Departamento / Área:
</t>
        </r>
        <r>
          <rPr>
            <sz val="9"/>
            <color indexed="81"/>
            <rFont val="Tahoma"/>
            <family val="2"/>
          </rPr>
          <t xml:space="preserve">
</t>
        </r>
        <r>
          <rPr>
            <b/>
            <sz val="9"/>
            <color indexed="81"/>
            <rFont val="Tahoma"/>
            <family val="2"/>
          </rPr>
          <t>Área responsable de ejecutar la prueba.</t>
        </r>
      </text>
    </comment>
    <comment ref="M7" authorId="0" shapeId="0" xr:uid="{00000000-0006-0000-0000-00000D000000}">
      <text>
        <r>
          <rPr>
            <b/>
            <sz val="9"/>
            <color indexed="81"/>
            <rFont val="Tahoma"/>
            <family val="2"/>
          </rPr>
          <t xml:space="preserve">Usuarios a Ejecutar la Prueba:
</t>
        </r>
        <r>
          <rPr>
            <b/>
            <u/>
            <sz val="9"/>
            <color indexed="81"/>
            <rFont val="Tahoma"/>
            <family val="2"/>
          </rPr>
          <t xml:space="preserve">
</t>
        </r>
        <r>
          <rPr>
            <b/>
            <sz val="9"/>
            <color indexed="81"/>
            <rFont val="Tahoma"/>
            <family val="2"/>
          </rPr>
          <t>Nombre de los usuarios que deberán realizar las pruebas.</t>
        </r>
      </text>
    </comment>
    <comment ref="O7" authorId="0" shapeId="0" xr:uid="{00000000-0006-0000-0000-00000E000000}">
      <text>
        <r>
          <rPr>
            <b/>
            <sz val="9"/>
            <color indexed="81"/>
            <rFont val="Tahoma"/>
            <family val="2"/>
          </rPr>
          <t>Consultor para Soporte:
Consultor responsable de brindar apoyo al usuario durante la prueba.</t>
        </r>
      </text>
    </comment>
    <comment ref="P7" authorId="0" shapeId="0" xr:uid="{00000000-0006-0000-0000-00000F000000}">
      <text>
        <r>
          <rPr>
            <b/>
            <sz val="9"/>
            <color indexed="81"/>
            <rFont val="Tahoma"/>
            <family val="2"/>
          </rPr>
          <t>Fecha Real:
Fecha de iniciio real de la prueba.</t>
        </r>
      </text>
    </comment>
    <comment ref="R7" authorId="0" shapeId="0" xr:uid="{00000000-0006-0000-0000-000010000000}">
      <text>
        <r>
          <rPr>
            <b/>
            <sz val="9"/>
            <color indexed="81"/>
            <rFont val="Tahoma"/>
            <family val="2"/>
          </rPr>
          <t>Estauts:
Aprobada -&gt; La prueba arrojó un resultado satisfactorio de acuerdo a lo construido en los sprints.
Pendiente -&gt; La prueba aún no ha sido ejecutada.
Rechazada -&gt; La prueba arrojó un resultado NO satisfactorio de acuerdo a lo construido en los sprints.
Cancelada -&gt; Tanto el usuario como el consultor determinan que la prueba no require ser ejecutada para validar la construicción.</t>
        </r>
      </text>
    </comment>
    <comment ref="S7" authorId="0" shapeId="0" xr:uid="{00000000-0006-0000-0000-000011000000}">
      <text>
        <r>
          <rPr>
            <b/>
            <sz val="9"/>
            <color indexed="81"/>
            <rFont val="Tahoma"/>
            <family val="2"/>
          </rPr>
          <t>Repercusión:
Pendiente -&gt; La prueba aún no ha sido ejecutada.
Cancelar -&gt; Tanto el usuario clave responsable como el consultor determinan que no es necesario realizar la prueba para validar la correcta construcción.
Aprobar -&gt; La prueba arrojó un resultado satisfactorio de acuerdo a lo construido en los sprints.
Modificar Configuración -&gt; Es necesario un cambio en la configuración con la finalidad de que el usuario valide la prueba.
Modificar Proceso -&gt; Es necesario un cambio en el proceso, ya sea en roles / actividades / tareas, con la finalidad de que el usuario valide la prueba.
Modificar Funcionalidad -&gt; Es necesario un cambio en la funcionalidad, generalmente una adaptación, con la finalidad de que el usuario valide la prueba.</t>
        </r>
      </text>
    </comment>
    <comment ref="T7" authorId="0" shapeId="0" xr:uid="{00000000-0006-0000-0000-000012000000}">
      <text>
        <r>
          <rPr>
            <b/>
            <sz val="9"/>
            <color indexed="81"/>
            <rFont val="Tahoma"/>
            <family val="2"/>
          </rPr>
          <t>Resultado Obtenido:
Observaciones con respecto al éxito total, parcial o nulo de la prueba.</t>
        </r>
      </text>
    </comment>
    <comment ref="V7" authorId="0" shapeId="0" xr:uid="{00000000-0006-0000-0000-000013000000}">
      <text>
        <r>
          <rPr>
            <b/>
            <sz val="9"/>
            <color indexed="81"/>
            <rFont val="Tahoma"/>
            <family val="2"/>
          </rPr>
          <t>Observaciones GCG:
Comentarios generados por el consultor o por algún miembro del equipo de consultoría de GCG, los cuales son de relevancia para definir la aprobación total, parcial o nula de una prueba.</t>
        </r>
      </text>
    </comment>
    <comment ref="W7" authorId="0" shapeId="0" xr:uid="{00000000-0006-0000-0000-000014000000}">
      <text>
        <r>
          <rPr>
            <b/>
            <sz val="9"/>
            <color indexed="81"/>
            <rFont val="Tahoma"/>
            <family val="2"/>
          </rPr>
          <t>Observaciones Cliente:
Comentarios generados por el usuario clave/final o por algún miembro del equipo de implementación del cliente, los cuales son de relevancia para definir la aprobación total, parcial o nula de una prueba.</t>
        </r>
      </text>
    </comment>
  </commentList>
</comments>
</file>

<file path=xl/sharedStrings.xml><?xml version="1.0" encoding="utf-8"?>
<sst xmlns="http://schemas.openxmlformats.org/spreadsheetml/2006/main" count="1300" uniqueCount="401">
  <si>
    <t>ID</t>
  </si>
  <si>
    <t>Fecha Estimada</t>
  </si>
  <si>
    <t>Tiempo Estimado (Hrs.)</t>
  </si>
  <si>
    <t>Módulo Principal</t>
  </si>
  <si>
    <t>Flujo</t>
  </si>
  <si>
    <t>L1 - Categoría</t>
  </si>
  <si>
    <t>L2 - Grupo de Procesos</t>
  </si>
  <si>
    <t>L3 - Proceso</t>
  </si>
  <si>
    <t>L4 - Actividadad</t>
  </si>
  <si>
    <t>Nombre de la Prueba</t>
  </si>
  <si>
    <t>Descripción de  la Prueba</t>
  </si>
  <si>
    <t>Departamento / Área</t>
  </si>
  <si>
    <t>Usuario(s) a Ejecutar la Prueba</t>
  </si>
  <si>
    <t>Duración Minutos</t>
  </si>
  <si>
    <t>Consultor Responsable</t>
  </si>
  <si>
    <t>Fecha Real</t>
  </si>
  <si>
    <t>Tiempo Real (Hrs.)</t>
  </si>
  <si>
    <t>Estatus</t>
  </si>
  <si>
    <t>Repercusión</t>
  </si>
  <si>
    <t>Resultado obtenido</t>
  </si>
  <si>
    <t>Responsable pendiente</t>
  </si>
  <si>
    <t>Observaciones GCG</t>
  </si>
  <si>
    <t>Observaciones Cliente</t>
  </si>
  <si>
    <t>Contabilidad General</t>
  </si>
  <si>
    <t xml:space="preserve">Apertura del Periódo </t>
  </si>
  <si>
    <t>Abrir el periódo para transaccionar</t>
  </si>
  <si>
    <t>Contabilidad</t>
  </si>
  <si>
    <t>Andrés</t>
  </si>
  <si>
    <t>Christian Aguila</t>
  </si>
  <si>
    <t>Aprobada</t>
  </si>
  <si>
    <t>Aprobar</t>
  </si>
  <si>
    <t>SATISFACTORIO</t>
  </si>
  <si>
    <t>Carga de saldos iniciales</t>
  </si>
  <si>
    <t>LA CARGA DE SALDOS CORRESPONDIENTES A LOS MÓDULOS LOS REALIZARÁ LA PERSONA ENCARGADA DEL MÓDULO, CONTABILIDAD SÓLO CARGARÁ EL MONTO TOTAL.
CONSIDERAR REUNION INTERNA PARA VALIDAR LA CARGA DE SI, Y EXPONER PUNTOS CON CONSULTORES PARA TENER EN EL SISTEMA LA INFORMACIÓN CORRECTA</t>
  </si>
  <si>
    <t>Creación de perfiles</t>
  </si>
  <si>
    <t>Creación de Grupos de Usuarios (Para Cierre de Periódo)</t>
  </si>
  <si>
    <t>Contabilidad / TI</t>
  </si>
  <si>
    <t>SE SOLICITARÁ LA CREACIÓN DE GRUPOS DE USUARIOS CON TI PARA TENER EL CONTROL Y GOBIERNO DE DATOS</t>
  </si>
  <si>
    <t>Gestión de Efectivo y Bancos</t>
  </si>
  <si>
    <t xml:space="preserve">Conjunto de bancos </t>
  </si>
  <si>
    <t>Crear los conjuntos de bancos necesarios para la operación.</t>
  </si>
  <si>
    <t>Tesorería</t>
  </si>
  <si>
    <t xml:space="preserve">Fernanda Santa Cruz </t>
  </si>
  <si>
    <t>Fredy</t>
  </si>
  <si>
    <t>Cuentas bancarias</t>
  </si>
  <si>
    <t xml:space="preserve">Crear las cuentas bancarias necesarias para la operación / Modificar cuentas bancarias. </t>
  </si>
  <si>
    <t>Gestión presupuestaria</t>
  </si>
  <si>
    <t>Carga de AFE (Cuentas Contables)</t>
  </si>
  <si>
    <t>Carga de Presupuesto por Pozo Etapa</t>
  </si>
  <si>
    <t>Presupuestos</t>
  </si>
  <si>
    <t>Mauricio</t>
  </si>
  <si>
    <t>Gestión de Proyectos y Contabilidad</t>
  </si>
  <si>
    <t>Creacion de Proyecto / Subpro</t>
  </si>
  <si>
    <t>Generación de un Proyecto con Pozos y Etapas</t>
  </si>
  <si>
    <t>Control de costos y proyectos</t>
  </si>
  <si>
    <t>Mirjana / Ovidio / Anabel</t>
  </si>
  <si>
    <t>Creacion de Etapas de Contingencia</t>
  </si>
  <si>
    <t>Generación de etapas adicionales a un proyecto ya creado</t>
  </si>
  <si>
    <t>Gestión e Información de Productos</t>
  </si>
  <si>
    <t>Alta de Artículo o Producto Nuevo (Tipo Artículo / Servicio)</t>
  </si>
  <si>
    <t>Compras
Proyectos</t>
  </si>
  <si>
    <t>María Alejandra
Mirjana / Ovidio / Anabel</t>
  </si>
  <si>
    <t>Luis Ramírez</t>
  </si>
  <si>
    <t>Definir responsable de cargas masivas.</t>
  </si>
  <si>
    <t>Unidad de medida nueva</t>
  </si>
  <si>
    <t xml:space="preserve">Compras
</t>
  </si>
  <si>
    <t>María Alejandra</t>
  </si>
  <si>
    <t>Revisar el grupo de impuestos de los artículos.</t>
  </si>
  <si>
    <t>Adquisición Abastecimiento</t>
  </si>
  <si>
    <t>Creación de Categoría de Compra</t>
  </si>
  <si>
    <t>Compras</t>
  </si>
  <si>
    <t>Creación de roles de seguridad.
Señalización de campos a llenar.</t>
  </si>
  <si>
    <t>Lista de Precios</t>
  </si>
  <si>
    <t>Actualizar el layout de listas de precios.</t>
  </si>
  <si>
    <t>Requisición PO Asociadas Proyectos (Solicitud Compra)</t>
  </si>
  <si>
    <t>Se requiere poder adjuntar una imagen al correo de aprobación.
Solicitud fecha requeridad
Filtrar por descripción larga.</t>
  </si>
  <si>
    <t>Alta de cuentas</t>
  </si>
  <si>
    <t>Alta de cuentas contables con dimensiones y sin dimensiones(con o sin modulo). Asociacion en contabilidad Electronica)</t>
  </si>
  <si>
    <t>Requisición PO Diesel (Solicitud Compra)</t>
  </si>
  <si>
    <t>Requisición PO Activo Fijo (Solicitud Compra)</t>
  </si>
  <si>
    <t>Crear lista de artículos relacionados a activos fijos.
Configurar productos y grupos de artículos.</t>
  </si>
  <si>
    <t>Cotización</t>
  </si>
  <si>
    <t>Cancelada</t>
  </si>
  <si>
    <t>Cancelar</t>
  </si>
  <si>
    <t>Flujos Trabajo SC</t>
  </si>
  <si>
    <t>Aprobación Requerida Matriz</t>
  </si>
  <si>
    <t>Compras / Cost Cont / Dir COMPRAS / DIR FINAN</t>
  </si>
  <si>
    <t>Pendiente</t>
  </si>
  <si>
    <t>Opex</t>
  </si>
  <si>
    <t>Se requiere definir usuarios aprobadores</t>
  </si>
  <si>
    <t>Poder ver en el correo de aprobación la imagen adjunta.</t>
  </si>
  <si>
    <t>Rechazo Requerida Matriz</t>
  </si>
  <si>
    <t>Delegación Aprobación Requeridad Matriz</t>
  </si>
  <si>
    <t>Solicitud de Cambio Requerida Matriz</t>
  </si>
  <si>
    <t>Recuperar solicitud de compra</t>
  </si>
  <si>
    <t>Creación PO Aprobada Asociada Proy</t>
  </si>
  <si>
    <t>con proyecto asociado</t>
  </si>
  <si>
    <t>Modificación de proyecto asociado a una PO Aprobada sin GR</t>
  </si>
  <si>
    <t>Modificación de proyecto asociado a una PO Aprobada con GR</t>
  </si>
  <si>
    <t>Modificación de Moneda a una PO Aprobada asociada a un proyecto</t>
  </si>
  <si>
    <t>Funcionalidad para conservar el precio unitario y solo cambiar la moneda.</t>
  </si>
  <si>
    <t>Flujos Trabajo OC</t>
  </si>
  <si>
    <t>Creación PO Aprobada</t>
  </si>
  <si>
    <t xml:space="preserve">sin proyecto asociado </t>
  </si>
  <si>
    <t>Modificación de Moneda a una PO Aprobada</t>
  </si>
  <si>
    <t>Modificación de Volumen a una PO Aprobada</t>
  </si>
  <si>
    <t>Matriz de aprobación</t>
  </si>
  <si>
    <t>Creación OC Directa (sin cotización) Asociada o no a Proyecto</t>
  </si>
  <si>
    <t>Creación OC Directa (sin cotización) Activo Fijo</t>
  </si>
  <si>
    <t>Realizar configuraciones en el sistema para crear órdenes de compra por activos fijos.</t>
  </si>
  <si>
    <t>Delegación Aprobación Requerida Matriz</t>
  </si>
  <si>
    <t>Recuperar Solicitud de Orden de compra</t>
  </si>
  <si>
    <t>Consulta de PO</t>
  </si>
  <si>
    <t>Consulta de PO cargada a proyecto</t>
  </si>
  <si>
    <t>Consulta de PO Final Ajustada</t>
  </si>
  <si>
    <t>Consulta de PO Final ajustada a volumetria final</t>
  </si>
  <si>
    <t>Generación de Recepción PO GR Materiales Servicios sin Die y sin Tub</t>
  </si>
  <si>
    <t>Generar consecutivo de número de recepción.</t>
  </si>
  <si>
    <t>Generación de Recepción PO GR Diesel</t>
  </si>
  <si>
    <t>ALMACÉN</t>
  </si>
  <si>
    <t>Jessica</t>
  </si>
  <si>
    <t>Generación de Recepción PO GR Tub</t>
  </si>
  <si>
    <t>Ramón</t>
  </si>
  <si>
    <t>Reversa GR Parcial o Total Materiales Servicios sin Die y sin Tub</t>
  </si>
  <si>
    <t>Reversa GR Parcial o Total Diesel</t>
  </si>
  <si>
    <t>Reversa GR Parcial o Total Tub</t>
  </si>
  <si>
    <t>Generación de Recepción PO GR Materiales Servicios sin Die y sin Tub Correcto</t>
  </si>
  <si>
    <t>Generación de Recepción PO GR Diesel Correcto</t>
  </si>
  <si>
    <t>Generación de Recepción PO GR Tub Correcto</t>
  </si>
  <si>
    <t>Administración de Inventario</t>
  </si>
  <si>
    <t>Ingresos Tubos proporcionados por PEMEX (Ajuste Inventario Descuento en Factura)</t>
  </si>
  <si>
    <t>Almacen
Cost Controller</t>
  </si>
  <si>
    <t>Ramón
Mirjana</t>
  </si>
  <si>
    <t>GCG</t>
  </si>
  <si>
    <t>Se debe revisar la estructura contable, ya que el sistema manda error de dimensiones financieras al querer registrar un diario de proyecto</t>
  </si>
  <si>
    <t>Diario de Proyectos Consumo Diesel</t>
  </si>
  <si>
    <t>Diario de Proyectos Consumo Tub PEMEX</t>
  </si>
  <si>
    <t>No estaba inicialmente contemplado</t>
  </si>
  <si>
    <t>Diario de Proyectos Ajuste Sobrante Tub</t>
  </si>
  <si>
    <t>Creación OC Negativa Directa (Orden Devolución NC) No asociada a proyecto</t>
  </si>
  <si>
    <t>Rechazo Requeridad Matriz</t>
  </si>
  <si>
    <t>Solicitud de Cambio Requeridad Matriz</t>
  </si>
  <si>
    <t>Recuperar Orde de Vuelta</t>
  </si>
  <si>
    <t>Traspasos Diesel almacenes (Botes y Plataformas)</t>
  </si>
  <si>
    <t>Traspasos de Diesles de almacenes de OPEX A AKAL</t>
  </si>
  <si>
    <t>Traspasos Tubos almacenes (Localidades Patio)</t>
  </si>
  <si>
    <t>Ventas y Marketing</t>
  </si>
  <si>
    <t>OV Interco Diesel (Mostrar la ruta desde donde se tendría la operación)</t>
  </si>
  <si>
    <t>Diario de movimiento mientras no haya Intercompañía</t>
  </si>
  <si>
    <t>ALM Jessica</t>
  </si>
  <si>
    <t>OV Interco Tubos (Mostrar la ruta desde donde se tendría la operación)</t>
  </si>
  <si>
    <t>ALM Ramón</t>
  </si>
  <si>
    <t>Consultas Diesel (Transacciones de Inventario y Disponible)</t>
  </si>
  <si>
    <t>Consultas Tubos (Transacciones de Inventario y Disponible)</t>
  </si>
  <si>
    <t>Satisfactorio</t>
  </si>
  <si>
    <t>Consulta de Recepcion de PO</t>
  </si>
  <si>
    <t>Asiento Contable e impacto en Proyecto</t>
  </si>
  <si>
    <t>Cierre y/o Cancelacion de PO</t>
  </si>
  <si>
    <t>Revision de PO Cerrada sin opcion a Edicion de Estatus</t>
  </si>
  <si>
    <t>Reporte de PO's</t>
  </si>
  <si>
    <t>Vista y descarga de Reporte de PO's</t>
  </si>
  <si>
    <t>Se requieren adecuaciones al archivo para cubrir la información
Agregar columna de descuento
Mover columna de Nombre Proveedor al final
Concatenar la Descripción del para el Diario (Orden de Compra - Nombre del Proveedor - Proyecto - Línea)
Agregar Columna con lógica para moneda
Agregar Conversión a USD
Redondear el Monto Pendiente a 2 decimales
Disminuir columnas en la data</t>
  </si>
  <si>
    <t>Aprobacion de Facturas sin PO</t>
  </si>
  <si>
    <t>Aprobacion de Facturas sin PO (PERFOMEX &amp; LOMO)</t>
  </si>
  <si>
    <t>El proceso se dará mediante Orden de Compra o mediante Diario Facturas para D365</t>
  </si>
  <si>
    <t>Pendientes de Aprobacion</t>
  </si>
  <si>
    <t>Consulta de pendientes de aprobacion (Facturas, PO's) (Reporte de Estatus PO Cargas Masivas)</t>
  </si>
  <si>
    <t>Cuentas por Pagar</t>
  </si>
  <si>
    <t>Anticipo mediante PO</t>
  </si>
  <si>
    <t>Generación de Anticipo PO</t>
  </si>
  <si>
    <t>Diana</t>
  </si>
  <si>
    <t>Ya se entrego el proceso y paso a paso de Anticipo de OC en D365</t>
  </si>
  <si>
    <t>Nos mandaran proceso de Anticipo en Dynamics para adecuacion a operación normal Opex, por temas de cuando no se tienen facturas, y se hizo anticipo de pago directo, si el hay desarrollo para que desde la orden de compra podamos meter posterior una factura. Entregado 8/feb/23</t>
  </si>
  <si>
    <t>Carga Masiva Facturas</t>
  </si>
  <si>
    <t>Desarrollo de Cargas Masivas de Facturas con OC / sin OC</t>
  </si>
  <si>
    <t>Modificar Funcionalidad</t>
  </si>
  <si>
    <t>Carga Facturas en Recepciones Canceladas</t>
  </si>
  <si>
    <t>Revisar con Desarrollo que las Facturas que hagan Match con las recepciones no consideré las recepciones canceladas</t>
  </si>
  <si>
    <t>Pendiente carga Masiva de DF
Validar la asociación de la Factura vs Recepciones de PO / Actualmente el Match es por Monto</t>
  </si>
  <si>
    <t>Registro Factura con PO</t>
  </si>
  <si>
    <t>Generación de Registro Factura para obtener el registro financiero en D365 / Poder enlazar con Recepcion / Validar impuestos en los casos que aplique retenciones / Notas de credito</t>
  </si>
  <si>
    <t xml:space="preserve">En el caso de Audentis se requiere corregir la PO en función al total de decimales del precio del Diesel y del IEPS. Suppleo se genero por Carga Masiva sin embargo hubo error ya que una factura hizo Match con otra PO que tenia la misma cantidad en recepcion. Los proveedores de los que no hicimos prueba por falta de PO son: Baker, Carlos Alberto, Katia Gonzalez, Salos Sunesis, Servicios y Soluciones, Thelsa y Tamsa. Del proveedor Jesus Antonio Martinez ya se creo el alta. Se subio una factura de Dowell pero al momento de crear el registro marco el error de que la PO no estaba confirmada y es porque se modifico posteior a su creacion. Tuvimos dos casos en que la factura subio y aparantemente hizo match con una recepcion pero al revisar no habia nada, entonces hizo match con un recepcion pero que fue cancelada (Tamsa y Audentis). </t>
  </si>
  <si>
    <t>Registro Factura sin PO</t>
  </si>
  <si>
    <t>Generación de Registro Factura para obtener el registro financiero en D365 / Colocar desglose de cuenta contable y dimensiones para aprobacion y registro final / Validar impuestos en los casos que aplique retenciones / Notas de credito</t>
  </si>
  <si>
    <t>Se revisaran definiciones para el validador con Fiscal (Andrés A.) para tener las reglas de negocio e información Fiscal de forma correcta predeterminada, para la validación en carga masiva
en tasa de Retención ejemplo versión 3.3 RET IVA 10.6666 %
Revisar con Andrés si se se va a crear una cuenta de Costo para Sueldos y salarios o el monto se trasladará por allocations</t>
  </si>
  <si>
    <t>Se detectaron mas movimientos manuales a la hora de revisar los impuestos, y nos daran un documento para la combinacion de cuentas
Crear el valor TI o IT para la dimensión financiera Centro de Costos, tambien confirmar si se puede ver una vista preeliminar de la poliza antes de la aprobacion del registro, ya que hasta que se aprueba lo podemos ver</t>
  </si>
  <si>
    <t>Proceso de Facturación Básicos</t>
  </si>
  <si>
    <t>Generación Diarios Facturas (Facturas intereses, traspaso de gastos, refacturación)</t>
  </si>
  <si>
    <t>Se revisaran definiciones para el validador con Fiscal (Andrés A.) para tener las reglas de negocio e información Fiscal de forma correcta predeterminada, para la validación en carga masiva
Validar tasa de Retención ejemplo de 3.3 RET IVA 10.6666 %
Revisar con Andrés si se se va a crear una cuenta de Costo para Sueldos y salarios o el monto se trasladará por allocations</t>
  </si>
  <si>
    <t>Crear el valor TI o IT para la dimensión financiera Centro de Costos</t>
  </si>
  <si>
    <t>Aprobación Diario</t>
  </si>
  <si>
    <t>Aprobación de Diario para Registro</t>
  </si>
  <si>
    <t>Aprobacion solo con facturas sin PO</t>
  </si>
  <si>
    <t>Flujo de Trabajo</t>
  </si>
  <si>
    <t>Autorización de Flujo de Trabajo (Matriz de Aprobación)</t>
  </si>
  <si>
    <t>CXP / DIR FINAN</t>
  </si>
  <si>
    <t>Pendiente definir flujos</t>
  </si>
  <si>
    <t xml:space="preserve">Alta de activo fijo </t>
  </si>
  <si>
    <t>Asignación al Gasto (Diario de Contabilidad)</t>
  </si>
  <si>
    <t xml:space="preserve">Andrés </t>
  </si>
  <si>
    <t>SATISFACTORIA</t>
  </si>
  <si>
    <t>Impuestos por Pagar</t>
  </si>
  <si>
    <t>Impuestos por Pagar Operación (PO o Diario Facturas)</t>
  </si>
  <si>
    <t xml:space="preserve">Cierre del Periódo </t>
  </si>
  <si>
    <t>Comprobar la funcionalidad del cierre de periodo por Conjunto de Usuarios, GL, AP , AR</t>
  </si>
  <si>
    <t>Propuesta de Pagos sin Anticipos</t>
  </si>
  <si>
    <t xml:space="preserve">Realizar Propuesta de Pagos en Diario de Pagos y realizar modificaciones para llegar a una propuesta final / Cancelar la propuesta / Validar propuesta que contenga pagos referenciados / Finalizar propuesta / </t>
  </si>
  <si>
    <t>CXP</t>
  </si>
  <si>
    <t>Validar TXT de Pagos / Se deberá realizar una revisión con Fernanda en función al historial de pago a proveedores el conjunto de pagos para que el TXT considere la regla correcta al momento de la generación y se tenga la información del formato correspondiente</t>
  </si>
  <si>
    <t>Definir perspectiva de anticipo, si con el check de generación de propuesta de pago es suficiente (eliminar pagos negativos) o se refiere al pago de facturas de anticipo. Hay que validar la opcion de modificar el T.C., descripcion ya que layout no permite caracter de simbolos.</t>
  </si>
  <si>
    <t>Anticipo mediante Diario de Pagos</t>
  </si>
  <si>
    <t>Generación de Anticipo Diario de Pagos Sin Factura</t>
  </si>
  <si>
    <t>Validar TXT de Pagos / Se deberá realizar una revisión con Fernanda en función al historial de pago a proveedores el conjunto de pagos para que el TXT considere la regla correcta al momento de la generación y se tenga la información del formato correspondiente
Validar si se puede editar el TC en la propuesta de pago (Por tipo de cambio Pactado)</t>
  </si>
  <si>
    <t>Se tiene que validar el .txt de pago y de regreso</t>
  </si>
  <si>
    <t>Generación de Anticipo Diario de Pagos con Factura</t>
  </si>
  <si>
    <t>Actualizar documento Word con prueba realizada, Anticipo desde Diario de Pagos sin Factura y posteriormente proceso de Anticipo PO</t>
  </si>
  <si>
    <t>El anticipo con PO siempre tendra que tener factura.</t>
  </si>
  <si>
    <t>Propuesta de Pagos con Anticipos</t>
  </si>
  <si>
    <t xml:space="preserve">Realizar Propuesta de Pagos en Diario de Pagos incluyendo pagos de anticipos a una orden de compra / pagos de anticipo sin orden de compra pero asociadas a un proveedor / realizar modificaciones para llegar a una propuesta final / Cancelar la propuesta / Validar propuesta que contenga pagos referenciados / Finalizar propuesta / </t>
  </si>
  <si>
    <t>Se revisaron dos .txt, se tendran dos formato y se cambiara el CXP04 para tener los layout correctos. De pagos referenciados no se hara propuesta de pago. La unica validacion que falta es que no se puede realizar cambio de TC desde propuesta de pago se tendria que realizar manual pero nos especificaran en donde lo podemos aplicar</t>
  </si>
  <si>
    <t>Validacion de registros (Aprobación Diarios)</t>
  </si>
  <si>
    <t>Validar registros por parte de los usuarios de AP, que todo registro del modulo pase por la aprobacion de la coordinacion</t>
  </si>
  <si>
    <t>Falta saber los grupos de usuarios, y que nombres de Diarios pertenecen a cuentas por pagar</t>
  </si>
  <si>
    <t xml:space="preserve">Transferencias entre cuentas </t>
  </si>
  <si>
    <t xml:space="preserve">Realizar transferencias bancarias entre diversas cuentas de la misma compañía o inter compañias. / En las intercompañias validar que el registro se refleje en la cuenta de la intercompañía contraria. / Cancelar registros de traspasos erróneos. / Validar la afectación de las cuentas contables correctas. </t>
  </si>
  <si>
    <t xml:space="preserve">Tesorería / Contabilidad </t>
  </si>
  <si>
    <t xml:space="preserve">Fernanda Santa Cruz / Andrés Ayala </t>
  </si>
  <si>
    <t>Sólo se realizo el traspaso en tre cuentas de la misma empresa, queda penndiente el traspaso entre compañias</t>
  </si>
  <si>
    <t>Para los traspasos de USD a MXN, en la línea de los MXN poner el tipo de cambio que resulte de dividr los USD entre el tipo de cambio de la transacción de USD, ejemplo 1,000 USD al tipo de cambio de 19.00 (1,000.00 usd/19,000 mxn) entonces el tipo de canio a ingresar en la linea de los MXN es de  0.052631</t>
  </si>
  <si>
    <t>Intereses y retenciones</t>
  </si>
  <si>
    <t xml:space="preserve">Registro de intereses y retenciones derivadas de inversiones bancarias.  Validar la afectación de las cuentas contables correctas. </t>
  </si>
  <si>
    <t xml:space="preserve">Comisiones e IVA </t>
  </si>
  <si>
    <t xml:space="preserve">Registro de comisiones e IVA cobrados por el banco.  Validar la afectación de las cuentas contables correctas. </t>
  </si>
  <si>
    <t>Generación Layout Bancario</t>
  </si>
  <si>
    <t>Desarrollo Generación Layout Bancario TXT para Pago en Banca / pagos con referencia bancaria /Revision de Layout de Retorno</t>
  </si>
  <si>
    <t>Cuentas por Pagar / Tesoreria</t>
  </si>
  <si>
    <t>Diana / Fernanda</t>
  </si>
  <si>
    <t>Se valido el desarrollo, y el layout de regreso, se modificaran las cuentas de banco que sean de santander 6 ceros al inicio, y uno al final, y actualizacion de cuentas de proveedores</t>
  </si>
  <si>
    <t>Aplicación de pago de impuestos  (Pagos a las secretarías)</t>
  </si>
  <si>
    <t>Registro contable de pago de impuestos federales, locales y municipales</t>
  </si>
  <si>
    <t>Andrés/Fernanda</t>
  </si>
  <si>
    <t>Registro Diario de Pagos</t>
  </si>
  <si>
    <t>Registro y proceso de cuentas contables Diario de Pagos a Proveedor</t>
  </si>
  <si>
    <t>Cuentas por Pagar / Contabilidad</t>
  </si>
  <si>
    <t>Diana / Andrés</t>
  </si>
  <si>
    <t>Ver en conjunto las definiciones de secuencias numericas de diarios</t>
  </si>
  <si>
    <t>Impuestos Pagados (Cancelación por Flujo de efectivo)</t>
  </si>
  <si>
    <t xml:space="preserve">Impuestos Pagados Operación (Diario de Pagos) Consulta de liquidación de impuestos automática </t>
  </si>
  <si>
    <t>Alta / Modificacion de Proveedores</t>
  </si>
  <si>
    <t>Alta de proveedores y/o modificacion de proveedores ya existentes.</t>
  </si>
  <si>
    <t>Diana / Jesús / Nancy / Andrés</t>
  </si>
  <si>
    <t>Pendiente de aprobar por Diana</t>
  </si>
  <si>
    <t>En caso de que exista un cambio de Nombre o Razón Social o RFC en un Proveedor se creará uno nuevo y se suspendera la operación del anterior para tener el control y seguimiento de la operación con ambos</t>
  </si>
  <si>
    <t>Condiciones de pago</t>
  </si>
  <si>
    <t>Validacion de condiciones de pago previas a la propuesta de pago, validar que sucede cuando el termino de pago es modificado en la orden de compra, y confirmar los que vienen directo del alta del proveedor</t>
  </si>
  <si>
    <t>Diana / Jesús / Nancy</t>
  </si>
  <si>
    <t>Jonathan</t>
  </si>
  <si>
    <t>Actualmente para los Diarios Factura si se omite la fecha de Factura considera la fecha de registro del diario para las condiciones de pago. Y si se pone la fecha factura considera esa fecha para las condiciones de Pago.
Revisar por funcionalidad que considere directamente la fecha de registro en el DF y en la OC</t>
  </si>
  <si>
    <t>Validar si hay opcion de tener terminos con fecha factura, y terminos o vencimiento a partir de aceptacion de factura. Se puede cuando es Factura con PO, pero no en el diario factura (Eso lo tienen que revisar GCG)</t>
  </si>
  <si>
    <t>Cancelacion de Registros</t>
  </si>
  <si>
    <t>Realizar pruebas de cancelacion de facturas, pagos, propuestas de pago, y verificar su impacto contable.</t>
  </si>
  <si>
    <t>Invertir el registro contable con un click es posible siempre y cuando no se afercte otro módulo (Bancos, Inventarios, Compras).
En caso de Afectar otro módulo caso PO se tendrá que hacer una PO negativa y liquidar la transacción.
En caso de afectar el módulo de bancos se tendrá que realizar el registro opuesto de forma manual.
En caso de que la inversión corresponda a la cuenta contable de contrapartida del proveedor o a una de las dimensiones financieras, se deberá realizar la reclasificación en un diario de contabilidad.
En caso de que la factura del proveedor sea sin PO y se tenga que cancelar todo el registro se puede invertir el diario o la transacción
Diana debe aprobar</t>
  </si>
  <si>
    <t>Indican que no hay forma de cancelar registros, cualquier cambio tendria que ser po negativa, o nota de credito con el .xml de cancelacion, hay que revisar para invertir los impactos contables, tambien GCG revisar la actualizacion de Dynamics</t>
  </si>
  <si>
    <t>Generacion de registros contables</t>
  </si>
  <si>
    <t>Realizacion de registros contables de reclasificaciones, provisiones de costos administrativos (IMSS, ISN, Nomina, ordenes de compra abiertas)</t>
  </si>
  <si>
    <t>Realizacion de registros contables de reclasificaciones, provisiones de costos (ordenes de compra abiertas)</t>
  </si>
  <si>
    <t>Igual a la carga del GL Masivas</t>
  </si>
  <si>
    <t>Cuentas por Cobrar</t>
  </si>
  <si>
    <t>Perfiles de asiento contable</t>
  </si>
  <si>
    <t>Como usuario clave, requiero la funcionalidad de crear perfiles de asiento contable con la finalidad de llevar el registro de las todas las transacciones de forma automática en cuantas contables.</t>
  </si>
  <si>
    <t>Julieta / Fernanda</t>
  </si>
  <si>
    <t>Transaccionar posterior al Cierre del Periódo</t>
  </si>
  <si>
    <t>Comprobar la funcionalidad del conjunto o grupo de usuarios de cierre</t>
  </si>
  <si>
    <t xml:space="preserve">Traspasos de saldos cierre del ejercicio </t>
  </si>
  <si>
    <t>Proceso de cierre anual y traspaso de saldos, adicionalmente registro de ajustes de auditoria. Afectación de contabildiad electronica.</t>
  </si>
  <si>
    <t>Reportes</t>
  </si>
  <si>
    <t xml:space="preserve">Realizar descarga de reportes de cuentas por pagar por descarga masiva </t>
  </si>
  <si>
    <t>Activo Fijo</t>
  </si>
  <si>
    <t>Asignación de Activo fijo (Diario de Adquisión Activo Fijo)</t>
  </si>
  <si>
    <t>Impuestos por Pagar Operación (Diario Contabilidad)</t>
  </si>
  <si>
    <t xml:space="preserve">Depreciación de actifvo fijo </t>
  </si>
  <si>
    <t>Proceso de depreciación de activo fijo por periodos completos</t>
  </si>
  <si>
    <t xml:space="preserve">Baja de Activo fijo </t>
  </si>
  <si>
    <t>Baja de Activo / Vta Activo. Emsion de factura de la venta</t>
  </si>
  <si>
    <t>No se esta reflejando el moviemiento del registro de la venta</t>
  </si>
  <si>
    <t>Impuestos</t>
  </si>
  <si>
    <t>Determinación de Impuestos por Pagar</t>
  </si>
  <si>
    <t>Reporte de movimientos contables del mes</t>
  </si>
  <si>
    <t>Vista y descarga de Reporte de movimientos contables del mes (GL)</t>
  </si>
  <si>
    <t>Jonathan / Diana</t>
  </si>
  <si>
    <t>Se enviaran las secuencias para que nos manden la personalización que se deberá determinar en conjunto</t>
  </si>
  <si>
    <t>Validar que el reporte Explorador de Origen de Contabilidad Cumple con los campos necesarios para el P&amp;L y dar el VoBo
Personalizar secuencias para identificar movimientos como en IFS (Tipo de Asiento)</t>
  </si>
  <si>
    <t>Reclasificaciones</t>
  </si>
  <si>
    <t>Registro en sistema y visualizacion</t>
  </si>
  <si>
    <t>Tuberia TAMSA</t>
  </si>
  <si>
    <t>Afectacion contable desde modulo (PO, recepcion en Inventario, cuenta de Balance y cuenta de Gasto)</t>
  </si>
  <si>
    <t>Se revisó definición con Mauricio, se propone mostrarles un ejercicio completo para que validen la operación y sobre dicha información generen sus pruebas. Cambio de defiición</t>
  </si>
  <si>
    <t>Tuberia PEMEX</t>
  </si>
  <si>
    <t>Afectacion contable desde modulo (Recepcion en Inventario, AR y cuenta de Gasto)</t>
  </si>
  <si>
    <t>Diesel</t>
  </si>
  <si>
    <t>Reporte Diesel</t>
  </si>
  <si>
    <t>Vista y descarga de Reporte de movimientos del mes y existencias</t>
  </si>
  <si>
    <t>Provisiones manuales</t>
  </si>
  <si>
    <t>Visualizacion de Facturas</t>
  </si>
  <si>
    <t>Vista desde PO y Proveedor</t>
  </si>
  <si>
    <t>Se Requiere que las PO tengan las facturas adjuntas como PDF y no sólo como XML (Ver posibilidad de cargar PDF en la operación masiva por SFTP)
En la vista preeliminar del documento cargado porder ocupar todo el espacio para validar la información sin tener que descargar la factura (PDF)</t>
  </si>
  <si>
    <t>Registos Intercompanias</t>
  </si>
  <si>
    <t>No se puede generar la prueba interco hasta el momento de tener configurada la empresa AKAL</t>
  </si>
  <si>
    <t>Amort. Seguros y gts Ant.</t>
  </si>
  <si>
    <t>Registro contable de amotización por medio de un diario recurrente</t>
  </si>
  <si>
    <t xml:space="preserve">Pendiente definir los grupos y libros de gtos pagados por anticipados y fianzas </t>
  </si>
  <si>
    <t>Reporte de operaciones intercos</t>
  </si>
  <si>
    <t>Proceso de extracción de operaciones y saldos Intercompañias</t>
  </si>
  <si>
    <t>Andrés / cxc / cxp</t>
  </si>
  <si>
    <t xml:space="preserve">Extracción de voucher transaction </t>
  </si>
  <si>
    <t>Procedimiento de extracción de información  y  addicion de columnas (TC, elaboro, fecha tc, etc)</t>
  </si>
  <si>
    <t>Formas de pago</t>
  </si>
  <si>
    <t>Como usuario clave, requiero la funcionalidad de crear formas de cobro para poder captar los pagos generados por los clientes</t>
  </si>
  <si>
    <t>Como usuario clave, requiero la funcionalidad de crear condiciones de pago con la finalidad de registrar los términos de pago pactados con los clientes para el cobro de sus facturas.</t>
  </si>
  <si>
    <t>Revalorización de moneda extranjera</t>
  </si>
  <si>
    <t>Como usuario clave, requiero la funcionalidad de poder revalorizar las transacciones en moneda extranjera con la finalidad de mantenerlos los saldos de clientes actualizados.</t>
  </si>
  <si>
    <t>GCG/CXC</t>
  </si>
  <si>
    <t>Se gerero la simulación pero se requier volverla a generar en la sesion con Julieta poara cerrar esta prueba</t>
  </si>
  <si>
    <t>Reportes de bancos</t>
  </si>
  <si>
    <t xml:space="preserve">Ejecutar reportes funcionales del módulo para la validación del detalle del mismo, como un estado de cuenta bancario, traspasos entre cuentas, traspasos intercompañias etc. </t>
  </si>
  <si>
    <t>Creación Contrato</t>
  </si>
  <si>
    <t>Julieta</t>
  </si>
  <si>
    <t xml:space="preserve">Carga Anexo C </t>
  </si>
  <si>
    <t xml:space="preserve">(Partidas), Hitos / PARTIDAS </t>
  </si>
  <si>
    <t>Realizacion de registros contables de reclasificaciones, provisiones de costos administrativos (Ingresos)</t>
  </si>
  <si>
    <t>Facturación PEMEX</t>
  </si>
  <si>
    <t>Orden de venta de servicios</t>
  </si>
  <si>
    <t>Definir el número de OV para diesel y tuberia ya que las ordenes de servicio le sirve de forma manual, revisar con Ramón y Jessica
1. Se requiere poder generar una OS que afecte 2 etapas del prouecto (ahora esta configurada etapa por paroyecto) NO PARA ARRANQUIE
2. Se requiere poder facturar menos de lo remisionado y que ese pendiente se vaya a una cuenta de descuento finalizando la remisoón para que estas cantidades ya no se puedan facturar.
 SE REQUIER PARA ARRANQUE
 (Cargo a descuentos vs ingresos)
3. Si se tuviera una factura de saldos iniciales y esxite el tema del punto 2 se tendria que cancelar la factura y meter la os por el nuevo procedimiento del tema 2.</t>
  </si>
  <si>
    <t>Se requieren 3 decimales en la recepción ademas de que no sale la adenda</t>
  </si>
  <si>
    <t>Facturación Interco (Intereses)</t>
  </si>
  <si>
    <t>Nota de Crédito PEMEX</t>
  </si>
  <si>
    <t>Diario de Cobros</t>
  </si>
  <si>
    <t>Parcial</t>
  </si>
  <si>
    <t>Total</t>
  </si>
  <si>
    <t>Reporte de antigüedad de saldos</t>
  </si>
  <si>
    <t>Como usuario clave, requiero el reporte de antigüedad de saldos para identificación de las facturas pendientes de cobro.</t>
  </si>
  <si>
    <t>Como usuario clave, requiero la funcionalidad de poder revalorizar las transacciones en moneda extranjera con la finalidad de mantenerlos los saldos de proveedores actualizados.</t>
  </si>
  <si>
    <t>Recibimos link de instrucciones</t>
  </si>
  <si>
    <t>Reporte de estado de cuenta del cliente / Validar con Balanza Comp</t>
  </si>
  <si>
    <t>Como usuario clave, requiero el reporte de estado de cuenta de cada cliente para identificar las transacciones generadas con cada cliente.</t>
  </si>
  <si>
    <t>Conciliación bancaria manual</t>
  </si>
  <si>
    <t xml:space="preserve">Ejecutar el proceso de la conciliación manual por cuenta bancaria, día y periodo requerido.  / Ajustar saldos en caso de requerirse para conciliar. </t>
  </si>
  <si>
    <t>Se realiza por el Módulo o por Contabilidad</t>
  </si>
  <si>
    <t>Revaluación de Saldos</t>
  </si>
  <si>
    <t xml:space="preserve">Proceso de revaluación por modulo y saldos contables. Revisión de impacto fiscal. </t>
  </si>
  <si>
    <t>Eliminación</t>
  </si>
  <si>
    <t>Eliminar cuenta contable, modificación de dimensiones financieras. (Suspensión de Cuenta y Dimenciones)</t>
  </si>
  <si>
    <t>Emisión de Estados financieros mensuales (MR)</t>
  </si>
  <si>
    <t>Proceso de estructura de emisión de Estados financieros ( ajustes contables durante meses anteriores)</t>
  </si>
  <si>
    <t>Registros contables de IMSS, ISN, Nomina, Impuestos, PTU</t>
  </si>
  <si>
    <t>Carga Factura sin PO a Codificar</t>
  </si>
  <si>
    <t>Revision de facturas ya en sistema por SFTP, que posteriormente se modificaran para codificar las lineas de costo con carga masiva (Layout)</t>
  </si>
  <si>
    <t>Cuenta de ID</t>
  </si>
  <si>
    <t>Column Labels</t>
  </si>
  <si>
    <t>Módulo</t>
  </si>
  <si>
    <t>Por probar</t>
  </si>
  <si>
    <t>Grand Total</t>
  </si>
  <si>
    <t>(All)</t>
  </si>
  <si>
    <t>ANÁLISIS DE RESULTADOS DE EJECUCIÓN DE SCRIPT DE PRUEBAS INTEGRALES</t>
  </si>
  <si>
    <t>Row Labels</t>
  </si>
  <si>
    <t>(blank)</t>
  </si>
  <si>
    <t>RESUMEN DE TIEMPO ESTIMADO DE EJECUCIÓN DE SCRIPT DE PRUEBAS INTEGRALES</t>
  </si>
  <si>
    <t>Suma de Tiempo Estimado (Hrs.)</t>
  </si>
  <si>
    <t>(blank) Total</t>
  </si>
  <si>
    <t>Script de pruebas</t>
  </si>
  <si>
    <t>Nombre del DDF</t>
  </si>
  <si>
    <t>Hito</t>
  </si>
  <si>
    <t>Nombre de prueba</t>
  </si>
  <si>
    <t>Ruta o Formulario</t>
  </si>
  <si>
    <t>Descripcion de la prueba</t>
  </si>
  <si>
    <t>Resultado Obtenido</t>
  </si>
  <si>
    <t>Notas</t>
  </si>
  <si>
    <t>Ruta de Ambiente</t>
  </si>
  <si>
    <t># Req.</t>
  </si>
  <si>
    <t>H1</t>
  </si>
  <si>
    <t>Responsables</t>
  </si>
  <si>
    <t>Validar configuración de código de barras EAN13</t>
  </si>
  <si>
    <t>Gestión de información de producto &gt; Productos liberados &gt; Administrar inventario &gt; Códigos de barras</t>
  </si>
  <si>
    <r>
      <t xml:space="preserve">Ingresar al artículo seleccionado y validar que exista un código de barras configurado con </t>
    </r>
    <r>
      <rPr>
        <b/>
        <sz val="11"/>
        <color theme="1"/>
        <rFont val="Calibri"/>
        <family val="2"/>
        <scheme val="minor"/>
      </rPr>
      <t>Tipo EAN13</t>
    </r>
    <r>
      <rPr>
        <sz val="11"/>
        <color theme="1"/>
        <rFont val="Calibri"/>
        <family val="2"/>
        <scheme val="minor"/>
      </rPr>
      <t>.</t>
    </r>
  </si>
  <si>
    <t>Validar diseño de etiqueta Walmart</t>
  </si>
  <si>
    <t>Administración de almacenes &gt; Configurar &gt; Ruta de documentos &gt; Diseño de etiquetas &gt; Seleccionar etiquetas personalizadas</t>
  </si>
  <si>
    <r>
      <t xml:space="preserve">Seleccionar el </t>
    </r>
    <r>
      <rPr>
        <b/>
        <sz val="11"/>
        <color theme="1"/>
        <rFont val="Calibri"/>
        <family val="2"/>
        <scheme val="minor"/>
      </rPr>
      <t>Id. Walmart</t>
    </r>
    <r>
      <rPr>
        <sz val="11"/>
        <color theme="1"/>
        <rFont val="Calibri"/>
        <family val="2"/>
        <scheme val="minor"/>
      </rPr>
      <t xml:space="preserve"> y validar que el diseño de la etiqueta contenga el campo </t>
    </r>
    <r>
      <rPr>
        <b/>
        <sz val="11"/>
        <color theme="1"/>
        <rFont val="Calibri"/>
        <family val="2"/>
        <scheme val="minor"/>
      </rPr>
      <t>UPC</t>
    </r>
    <r>
      <rPr>
        <sz val="11"/>
        <color theme="1"/>
        <rFont val="Calibri"/>
        <family val="2"/>
        <scheme val="minor"/>
      </rPr>
      <t>.</t>
    </r>
  </si>
  <si>
    <t>Generar etiqueta Walmart</t>
  </si>
  <si>
    <t>Administración de almacenes &gt; Configurar &gt; Ruta de documentos &gt; Diseño de etiquetas</t>
  </si>
  <si>
    <r>
      <t xml:space="preserve">Generar una etiqueta Walmart para un artículo que tenga configurado un código de barras de </t>
    </r>
    <r>
      <rPr>
        <b/>
        <sz val="11"/>
        <color theme="1"/>
        <rFont val="Calibri"/>
        <family val="2"/>
        <scheme val="minor"/>
      </rPr>
      <t>Tipo EAN13</t>
    </r>
    <r>
      <rPr>
        <sz val="11"/>
        <color theme="1"/>
        <rFont val="Calibri"/>
        <family val="2"/>
        <scheme val="minor"/>
      </rPr>
      <t>.</t>
    </r>
  </si>
  <si>
    <t>Validar valor mostrado en campo UPC</t>
  </si>
  <si>
    <t>Etiqueta Walmart</t>
  </si>
  <si>
    <r>
      <t xml:space="preserve">Revisar que el valor mostrado en el campo </t>
    </r>
    <r>
      <rPr>
        <b/>
        <sz val="11"/>
        <color theme="1"/>
        <rFont val="Calibri"/>
        <family val="2"/>
        <scheme val="minor"/>
      </rPr>
      <t>UPC</t>
    </r>
    <r>
      <rPr>
        <sz val="11"/>
        <color theme="1"/>
        <rFont val="Calibri"/>
        <family val="2"/>
        <scheme val="minor"/>
      </rPr>
      <t xml:space="preserve"> corresponda exactamente al código de barras configurado con </t>
    </r>
    <r>
      <rPr>
        <b/>
        <sz val="11"/>
        <color theme="1"/>
        <rFont val="Calibri"/>
        <family val="2"/>
        <scheme val="minor"/>
      </rPr>
      <t>Tipo EAN13</t>
    </r>
    <r>
      <rPr>
        <sz val="11"/>
        <color theme="1"/>
        <rFont val="Calibri"/>
        <family val="2"/>
        <scheme val="minor"/>
      </rPr>
      <t xml:space="preserve"> para el artículo.</t>
    </r>
  </si>
  <si>
    <t>Validar código de barras impreso</t>
  </si>
  <si>
    <r>
      <t xml:space="preserve">Validar que el código de barras impreso en el campo </t>
    </r>
    <r>
      <rPr>
        <b/>
        <sz val="11"/>
        <color theme="1"/>
        <rFont val="Calibri"/>
        <family val="2"/>
        <scheme val="minor"/>
      </rPr>
      <t>UPC</t>
    </r>
    <r>
      <rPr>
        <sz val="11"/>
        <color theme="1"/>
        <rFont val="Calibri"/>
        <family val="2"/>
        <scheme val="minor"/>
      </rPr>
      <t xml:space="preserve"> corresponda al valor EAN13 configurado en el artículo y que pueda ser leído correctamente.</t>
    </r>
  </si>
  <si>
    <t>Validar que no tome otro tipo de código</t>
  </si>
  <si>
    <t>Códigos de barras / Etiqueta Walmart</t>
  </si>
  <si>
    <r>
      <t xml:space="preserve">Para un artículo que tenga configurados diferentes tipos de códigos de barras, generar la etiqueta y validar que el campo </t>
    </r>
    <r>
      <rPr>
        <b/>
        <sz val="11"/>
        <color theme="1"/>
        <rFont val="Calibri"/>
        <family val="2"/>
        <scheme val="minor"/>
      </rPr>
      <t>UPC</t>
    </r>
    <r>
      <rPr>
        <sz val="11"/>
        <color theme="1"/>
        <rFont val="Calibri"/>
        <family val="2"/>
        <scheme val="minor"/>
      </rPr>
      <t xml:space="preserve"> tome únicamente el código configurado como </t>
    </r>
    <r>
      <rPr>
        <b/>
        <sz val="11"/>
        <color theme="1"/>
        <rFont val="Calibri"/>
        <family val="2"/>
        <scheme val="minor"/>
      </rPr>
      <t>EAN13</t>
    </r>
    <r>
      <rPr>
        <sz val="11"/>
        <color theme="1"/>
        <rFont val="Calibri"/>
        <family val="2"/>
        <scheme val="minor"/>
      </rPr>
      <t>.</t>
    </r>
  </si>
  <si>
    <t>GCG/ANDROMACO</t>
  </si>
  <si>
    <t>REQ-7731 - Andromaco CC en etiqueta Walmart</t>
  </si>
  <si>
    <t>REQ-7731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</si>
</sst>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0.0"/>
  </numFmts>
  <fonts count="20" x14ac:knownFonts="1">
    <font>
      <sz val="11"/>
      <color theme="1"/>
      <name val="Calibri"/>
      <family val="2"/>
      <scheme val="minor"/>
    </font>
    <font>
      <sz val="10"/>
      <color theme="1"/>
      <name val="Calibri"/>
      <family val="2"/>
      <scheme val="minor"/>
    </font>
    <font>
      <sz val="9"/>
      <color indexed="81"/>
      <name val="Tahoma"/>
      <family val="2"/>
    </font>
    <font>
      <b/>
      <sz val="9"/>
      <color indexed="81"/>
      <name val="Tahoma"/>
      <family val="2"/>
    </font>
    <font>
      <b/>
      <u/>
      <sz val="9"/>
      <color indexed="81"/>
      <name val="Tahoma"/>
      <family val="2"/>
    </font>
    <font>
      <sz val="11"/>
      <name val="Calibri"/>
      <family val="2"/>
      <scheme val="minor"/>
    </font>
    <font>
      <b/>
      <sz val="16"/>
      <color theme="0"/>
      <name val="Arial"/>
      <family val="2"/>
    </font>
    <font>
      <sz val="10"/>
      <color rgb="FF000000"/>
      <name val="Calibri"/>
      <family val="2"/>
    </font>
    <font>
      <sz val="10"/>
      <name val="Calibri"/>
      <family val="2"/>
      <scheme val="minor"/>
    </font>
    <font>
      <sz val="11"/>
      <color rgb="FF00B050"/>
      <name val="Calibri"/>
      <family val="2"/>
      <scheme val="minor"/>
    </font>
    <font>
      <sz val="11"/>
      <color rgb="FF000000"/>
      <name val="Calibri"/>
      <family val="2"/>
      <scheme val="minor"/>
    </font>
    <font>
      <sz val="10"/>
      <color rgb="FF000000"/>
      <name val="Calibri"/>
      <family val="2"/>
      <scheme val="minor"/>
    </font>
    <font>
      <sz val="11"/>
      <color rgb="FF70AD47"/>
      <name val="Calibri"/>
      <family val="2"/>
      <scheme val="minor"/>
    </font>
    <font>
      <b/>
      <sz val="11"/>
      <color theme="1"/>
      <name val="Calibri"/>
      <family val="2"/>
      <scheme val="minor"/>
    </font>
    <font>
      <sz val="10"/>
      <color rgb="FF00B050"/>
      <name val="Calibri"/>
      <family val="2"/>
      <scheme val="minor"/>
    </font>
    <font>
      <sz val="10"/>
      <color theme="1"/>
      <name val="Arial Nova Cond"/>
      <family val="2"/>
    </font>
    <font>
      <sz val="8"/>
      <name val="Calibri"/>
      <family val="2"/>
      <scheme val="minor"/>
    </font>
    <font>
      <b/>
      <sz val="36"/>
      <color theme="1" tint="0.34998626667073579"/>
      <name val="Arial Nova Cond"/>
      <family val="2"/>
    </font>
    <font>
      <b/>
      <sz val="11"/>
      <color theme="0"/>
      <name val="Arial"/>
      <family val="2"/>
    </font>
    <font>
      <sz val="10"/>
      <color theme="1"/>
      <name val="Arial"/>
      <family val="2"/>
    </font>
  </fonts>
  <fills count="14">
    <fill>
      <patternFill patternType="none"/>
    </fill>
    <fill>
      <patternFill patternType="gray125"/>
    </fill>
    <fill>
      <patternFill patternType="solid">
        <fgColor theme="1"/>
        <bgColor indexed="64"/>
      </patternFill>
    </fill>
    <fill>
      <patternFill patternType="solid">
        <fgColor rgb="FF0D0D0D"/>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rgb="FF00B0F0"/>
        <bgColor indexed="64"/>
      </patternFill>
    </fill>
    <fill>
      <patternFill patternType="solid">
        <fgColor rgb="FFFFF2CC"/>
        <bgColor indexed="64"/>
      </patternFill>
    </fill>
    <fill>
      <patternFill patternType="solid">
        <fgColor rgb="FFDCE6F1"/>
        <bgColor rgb="FFDCE6F1"/>
      </patternFill>
    </fill>
    <fill>
      <patternFill patternType="solid">
        <fgColor rgb="FFFFC000"/>
        <bgColor indexed="64"/>
      </patternFill>
    </fill>
    <fill>
      <patternFill patternType="solid">
        <fgColor rgb="FF7030A0"/>
        <bgColor indexed="64"/>
      </patternFill>
    </fill>
    <fill>
      <patternFill patternType="solid">
        <fgColor rgb="FFFCE4D6"/>
        <bgColor indexed="64"/>
      </patternFill>
    </fill>
    <fill>
      <patternFill patternType="solid">
        <fgColor theme="0"/>
        <bgColor indexed="64"/>
      </patternFill>
    </fill>
    <fill>
      <patternFill patternType="solid">
        <fgColor theme="5" tint="0.59999389629810485"/>
        <bgColor theme="5" tint="0.59999389629810485"/>
      </patternFill>
    </fill>
  </fills>
  <borders count="10">
    <border>
      <left/>
      <right/>
      <top/>
      <bottom/>
      <diagonal/>
    </border>
    <border>
      <left/>
      <right/>
      <top style="thin">
        <color rgb="FF95B3D7"/>
      </top>
      <bottom style="thin">
        <color rgb="FF95B3D7"/>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theme="0"/>
      </left>
      <right style="thin">
        <color theme="0"/>
      </right>
      <top style="thin">
        <color theme="0"/>
      </top>
      <bottom style="thin">
        <color theme="0"/>
      </bottom>
      <diagonal/>
    </border>
  </borders>
  <cellStyleXfs count="1">
    <xf numFmtId="0" fontId="0" fillId="0" borderId="0"/>
  </cellStyleXfs>
  <cellXfs count="108">
    <xf numFmtId="0" fontId="0" fillId="0" borderId="0" xfId="0"/>
    <xf numFmtId="0" fontId="1" fillId="0" borderId="0" xfId="0" applyFont="1" applyAlignment="1">
      <alignment vertical="center" wrapText="1"/>
    </xf>
    <xf numFmtId="164" fontId="1" fillId="0" borderId="0" xfId="0" applyNumberFormat="1" applyFont="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4" fontId="1" fillId="0" borderId="0" xfId="0" applyNumberFormat="1" applyFont="1" applyAlignment="1">
      <alignment horizontal="center" vertical="center" wrapText="1"/>
    </xf>
    <xf numFmtId="0" fontId="0" fillId="0" borderId="0" xfId="0" applyAlignment="1">
      <alignment wrapText="1"/>
    </xf>
    <xf numFmtId="0" fontId="0" fillId="0" borderId="0" xfId="0" applyAlignment="1">
      <alignment horizontal="left"/>
    </xf>
    <xf numFmtId="0" fontId="0" fillId="0" borderId="0" xfId="0" pivotButton="1" applyAlignment="1">
      <alignment vertical="center" wrapText="1"/>
    </xf>
    <xf numFmtId="2" fontId="0" fillId="0" borderId="0" xfId="0" applyNumberFormat="1" applyAlignment="1">
      <alignment vertical="center" wrapText="1"/>
    </xf>
    <xf numFmtId="0" fontId="0" fillId="2" borderId="0" xfId="0" applyFill="1" applyAlignment="1">
      <alignment vertical="center" wrapText="1"/>
    </xf>
    <xf numFmtId="0" fontId="5" fillId="2" borderId="0" xfId="0" applyFont="1" applyFill="1" applyAlignment="1">
      <alignment vertical="center" wrapText="1"/>
    </xf>
    <xf numFmtId="0" fontId="0" fillId="3" borderId="0" xfId="0" applyFill="1" applyAlignment="1">
      <alignment vertical="center" wrapText="1"/>
    </xf>
    <xf numFmtId="0" fontId="0" fillId="0" borderId="0" xfId="0" applyAlignment="1">
      <alignment horizontal="center" vertical="center"/>
    </xf>
    <xf numFmtId="0" fontId="0" fillId="0" borderId="0" xfId="0" pivotButton="1"/>
    <xf numFmtId="0" fontId="1" fillId="0" borderId="0" xfId="0" applyFont="1" applyAlignment="1">
      <alignment horizontal="center" vertical="center" wrapText="1"/>
    </xf>
    <xf numFmtId="0" fontId="0" fillId="0" borderId="0" xfId="0" applyAlignment="1">
      <alignment horizontal="left" indent="1"/>
    </xf>
    <xf numFmtId="0" fontId="0" fillId="0" borderId="0" xfId="0" applyAlignment="1">
      <alignment horizontal="left" vertical="center" wrapText="1"/>
    </xf>
    <xf numFmtId="0" fontId="0" fillId="0" borderId="0" xfId="0" applyAlignment="1">
      <alignment horizontal="left" vertical="center"/>
    </xf>
    <xf numFmtId="164" fontId="0" fillId="0" borderId="0" xfId="0" applyNumberFormat="1" applyAlignment="1">
      <alignment horizontal="center" vertical="center" wrapText="1"/>
    </xf>
    <xf numFmtId="4" fontId="0" fillId="0" borderId="0" xfId="0" applyNumberFormat="1" applyAlignment="1">
      <alignment horizontal="center" vertical="center" wrapText="1"/>
    </xf>
    <xf numFmtId="164" fontId="0" fillId="5" borderId="0" xfId="0" applyNumberFormat="1" applyFill="1" applyAlignment="1">
      <alignment horizontal="center" vertical="center" wrapText="1"/>
    </xf>
    <xf numFmtId="4" fontId="0" fillId="5" borderId="0" xfId="0" applyNumberFormat="1" applyFill="1" applyAlignment="1">
      <alignment horizontal="center" vertical="center" wrapText="1"/>
    </xf>
    <xf numFmtId="0" fontId="0" fillId="5" borderId="0" xfId="0" applyFill="1" applyAlignment="1">
      <alignment vertical="center" wrapText="1"/>
    </xf>
    <xf numFmtId="164" fontId="0" fillId="6" borderId="0" xfId="0" applyNumberFormat="1" applyFill="1" applyAlignment="1">
      <alignment horizontal="center" vertical="center" wrapText="1"/>
    </xf>
    <xf numFmtId="4" fontId="0" fillId="6" borderId="0" xfId="0" applyNumberFormat="1" applyFill="1" applyAlignment="1">
      <alignment horizontal="center" vertical="center" wrapText="1"/>
    </xf>
    <xf numFmtId="0" fontId="0" fillId="6" borderId="0" xfId="0" applyFill="1" applyAlignment="1">
      <alignment vertical="center" wrapText="1"/>
    </xf>
    <xf numFmtId="0" fontId="0" fillId="5" borderId="0" xfId="0" applyFill="1" applyAlignment="1">
      <alignment horizontal="center" vertical="center" wrapText="1"/>
    </xf>
    <xf numFmtId="0" fontId="0" fillId="6" borderId="0" xfId="0" applyFill="1" applyAlignment="1">
      <alignment horizontal="center" vertical="center" wrapText="1"/>
    </xf>
    <xf numFmtId="164" fontId="0" fillId="7" borderId="0" xfId="0" applyNumberFormat="1" applyFill="1" applyAlignment="1">
      <alignment horizontal="center" vertical="center" wrapText="1"/>
    </xf>
    <xf numFmtId="4" fontId="0" fillId="7" borderId="0" xfId="0" applyNumberFormat="1" applyFill="1" applyAlignment="1">
      <alignment horizontal="center" vertical="center" wrapText="1"/>
    </xf>
    <xf numFmtId="0" fontId="0" fillId="7" borderId="0" xfId="0" applyFill="1" applyAlignment="1">
      <alignment vertical="center" wrapText="1"/>
    </xf>
    <xf numFmtId="0" fontId="0" fillId="7" borderId="0" xfId="0" applyFill="1" applyAlignment="1">
      <alignment horizontal="center" vertical="center" wrapText="1"/>
    </xf>
    <xf numFmtId="0" fontId="7" fillId="0" borderId="1" xfId="0" applyFont="1" applyBorder="1" applyAlignment="1">
      <alignment wrapText="1"/>
    </xf>
    <xf numFmtId="0" fontId="1" fillId="6" borderId="0" xfId="0" applyFont="1" applyFill="1" applyAlignment="1">
      <alignment horizontal="center" vertical="center" wrapText="1"/>
    </xf>
    <xf numFmtId="165" fontId="0" fillId="0" borderId="0" xfId="0" applyNumberFormat="1" applyAlignment="1">
      <alignment vertical="center" wrapText="1"/>
    </xf>
    <xf numFmtId="0" fontId="5"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horizontal="left" vertical="center" wrapText="1"/>
    </xf>
    <xf numFmtId="164" fontId="9" fillId="0" borderId="0" xfId="0" applyNumberFormat="1" applyFont="1" applyAlignment="1">
      <alignment horizontal="center" vertical="center" wrapText="1"/>
    </xf>
    <xf numFmtId="4" fontId="9" fillId="0" borderId="0" xfId="0" applyNumberFormat="1" applyFont="1" applyAlignment="1">
      <alignment horizontal="center" vertical="center" wrapText="1"/>
    </xf>
    <xf numFmtId="0" fontId="9" fillId="0" borderId="0" xfId="0" applyFont="1" applyAlignment="1">
      <alignment vertical="center" wrapText="1"/>
    </xf>
    <xf numFmtId="0" fontId="9" fillId="0" borderId="0" xfId="0" applyFont="1" applyAlignment="1">
      <alignment horizontal="center" vertical="center" wrapText="1"/>
    </xf>
    <xf numFmtId="164" fontId="1" fillId="6" borderId="0" xfId="0" applyNumberFormat="1" applyFont="1" applyFill="1" applyAlignment="1">
      <alignment horizontal="center" vertical="center" wrapText="1"/>
    </xf>
    <xf numFmtId="4" fontId="1" fillId="6" borderId="0" xfId="0" applyNumberFormat="1" applyFont="1" applyFill="1" applyAlignment="1">
      <alignment horizontal="center" vertical="center" wrapText="1"/>
    </xf>
    <xf numFmtId="0" fontId="1" fillId="6" borderId="0" xfId="0" applyFont="1" applyFill="1" applyAlignment="1">
      <alignment vertical="center" wrapText="1"/>
    </xf>
    <xf numFmtId="0" fontId="10" fillId="0" borderId="0" xfId="0" applyFont="1" applyAlignment="1">
      <alignment horizontal="left" vertical="center" wrapText="1"/>
    </xf>
    <xf numFmtId="164" fontId="11" fillId="0" borderId="0" xfId="0" applyNumberFormat="1" applyFont="1" applyAlignment="1">
      <alignment horizontal="center" vertical="center" wrapText="1"/>
    </xf>
    <xf numFmtId="4" fontId="11" fillId="0" borderId="0" xfId="0" applyNumberFormat="1" applyFont="1" applyAlignment="1">
      <alignment horizontal="center" vertical="center" wrapText="1"/>
    </xf>
    <xf numFmtId="0" fontId="11" fillId="0" borderId="0" xfId="0" applyFont="1" applyAlignment="1">
      <alignment vertical="center" wrapText="1"/>
    </xf>
    <xf numFmtId="0" fontId="11" fillId="0" borderId="0" xfId="0" applyFont="1" applyAlignment="1">
      <alignment horizontal="center" vertical="center" wrapText="1"/>
    </xf>
    <xf numFmtId="0" fontId="10" fillId="0" borderId="0" xfId="0" applyFont="1" applyAlignment="1">
      <alignment vertical="center" wrapText="1"/>
    </xf>
    <xf numFmtId="0" fontId="12" fillId="0" borderId="0" xfId="0" applyFont="1" applyAlignment="1">
      <alignment horizontal="left" vertical="center" wrapText="1"/>
    </xf>
    <xf numFmtId="164" fontId="12" fillId="0" borderId="0" xfId="0" applyNumberFormat="1" applyFont="1" applyAlignment="1">
      <alignment horizontal="center" vertical="center" wrapText="1"/>
    </xf>
    <xf numFmtId="4" fontId="12" fillId="0" borderId="0" xfId="0" applyNumberFormat="1" applyFont="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wrapText="1"/>
    </xf>
    <xf numFmtId="0" fontId="13" fillId="0" borderId="0" xfId="0" pivotButton="1" applyFont="1"/>
    <xf numFmtId="0" fontId="13" fillId="0" borderId="0" xfId="0" applyFont="1"/>
    <xf numFmtId="0" fontId="13" fillId="0" borderId="3" xfId="0" applyFont="1" applyBorder="1" applyAlignment="1">
      <alignment horizontal="left"/>
    </xf>
    <xf numFmtId="9" fontId="13" fillId="0" borderId="0" xfId="0" applyNumberFormat="1" applyFont="1" applyAlignment="1">
      <alignment horizontal="center"/>
    </xf>
    <xf numFmtId="0" fontId="5" fillId="0" borderId="0" xfId="0" applyFont="1" applyAlignment="1">
      <alignment horizontal="left" vertical="center" wrapText="1"/>
    </xf>
    <xf numFmtId="164" fontId="5" fillId="0" borderId="0" xfId="0" applyNumberFormat="1" applyFont="1" applyAlignment="1">
      <alignment horizontal="center" vertical="center" wrapText="1"/>
    </xf>
    <xf numFmtId="4" fontId="5" fillId="0" borderId="0" xfId="0" applyNumberFormat="1" applyFont="1" applyAlignment="1">
      <alignment horizontal="center" vertical="center" wrapText="1"/>
    </xf>
    <xf numFmtId="0" fontId="5" fillId="0" borderId="0" xfId="0" applyFont="1" applyAlignment="1">
      <alignment horizontal="center" vertical="center" wrapText="1"/>
    </xf>
    <xf numFmtId="0" fontId="14" fillId="0" borderId="0" xfId="0" applyFont="1" applyAlignment="1">
      <alignment vertical="center" wrapText="1"/>
    </xf>
    <xf numFmtId="0" fontId="0" fillId="9" borderId="0" xfId="0" applyFill="1" applyAlignment="1">
      <alignment vertical="center" wrapText="1"/>
    </xf>
    <xf numFmtId="0" fontId="5" fillId="9" borderId="0" xfId="0" applyFont="1" applyFill="1" applyAlignment="1">
      <alignment vertical="center" wrapText="1"/>
    </xf>
    <xf numFmtId="0" fontId="0" fillId="9" borderId="0" xfId="0" applyFill="1"/>
    <xf numFmtId="0" fontId="7" fillId="9" borderId="1" xfId="0" applyFont="1" applyFill="1" applyBorder="1" applyAlignment="1">
      <alignment wrapText="1"/>
    </xf>
    <xf numFmtId="0" fontId="0" fillId="10" borderId="0" xfId="0" applyFill="1" applyAlignment="1">
      <alignment vertical="center" wrapText="1"/>
    </xf>
    <xf numFmtId="0" fontId="1" fillId="10" borderId="0" xfId="0" applyFont="1" applyFill="1" applyAlignment="1">
      <alignment vertical="center" wrapText="1"/>
    </xf>
    <xf numFmtId="0" fontId="1" fillId="9" borderId="0" xfId="0" applyFont="1" applyFill="1" applyAlignment="1">
      <alignment vertical="center" wrapText="1"/>
    </xf>
    <xf numFmtId="0" fontId="9" fillId="10" borderId="0" xfId="0" applyFont="1" applyFill="1" applyAlignment="1">
      <alignment vertical="center" wrapText="1"/>
    </xf>
    <xf numFmtId="0" fontId="12" fillId="10" borderId="0" xfId="0" applyFont="1" applyFill="1" applyAlignment="1">
      <alignment vertical="center" wrapText="1"/>
    </xf>
    <xf numFmtId="0" fontId="0" fillId="11" borderId="0" xfId="0" applyFill="1" applyAlignment="1">
      <alignment horizontal="left" vertical="center" wrapText="1"/>
    </xf>
    <xf numFmtId="164" fontId="0" fillId="11" borderId="0" xfId="0" applyNumberFormat="1" applyFill="1" applyAlignment="1">
      <alignment horizontal="center" vertical="center" wrapText="1"/>
    </xf>
    <xf numFmtId="4" fontId="0" fillId="11" borderId="0" xfId="0" applyNumberFormat="1" applyFill="1" applyAlignment="1">
      <alignment horizontal="center" vertical="center" wrapText="1"/>
    </xf>
    <xf numFmtId="0" fontId="0" fillId="11" borderId="0" xfId="0" applyFill="1" applyAlignment="1">
      <alignment vertical="center" wrapText="1"/>
    </xf>
    <xf numFmtId="0" fontId="0" fillId="11" borderId="0" xfId="0" applyFill="1" applyAlignment="1">
      <alignment horizontal="center" vertical="center" wrapText="1"/>
    </xf>
    <xf numFmtId="0" fontId="7" fillId="9" borderId="0" xfId="0" applyFont="1" applyFill="1" applyAlignment="1">
      <alignment wrapText="1"/>
    </xf>
    <xf numFmtId="0" fontId="1" fillId="9" borderId="1" xfId="0" applyFont="1" applyFill="1" applyBorder="1" applyAlignment="1">
      <alignment vertical="center" wrapText="1"/>
    </xf>
    <xf numFmtId="0" fontId="7" fillId="6" borderId="0" xfId="0" applyFont="1" applyFill="1" applyAlignment="1">
      <alignment wrapText="1"/>
    </xf>
    <xf numFmtId="0" fontId="1" fillId="0" borderId="1" xfId="0" applyFont="1" applyBorder="1" applyAlignment="1">
      <alignment vertical="center" wrapText="1"/>
    </xf>
    <xf numFmtId="0" fontId="7" fillId="8" borderId="0" xfId="0" applyFont="1" applyFill="1" applyAlignment="1">
      <alignment wrapText="1"/>
    </xf>
    <xf numFmtId="0" fontId="7" fillId="0" borderId="0" xfId="0" applyFont="1" applyAlignment="1">
      <alignment wrapText="1"/>
    </xf>
    <xf numFmtId="0" fontId="0" fillId="0" borderId="0" xfId="0" applyAlignment="1">
      <alignment vertical="top" wrapText="1"/>
    </xf>
    <xf numFmtId="0" fontId="12" fillId="0" borderId="0" xfId="0" applyFont="1" applyAlignment="1">
      <alignment vertical="top" wrapText="1"/>
    </xf>
    <xf numFmtId="0" fontId="13" fillId="0" borderId="2" xfId="0" applyFont="1" applyBorder="1" applyAlignment="1">
      <alignment horizontal="center"/>
    </xf>
    <xf numFmtId="0" fontId="0" fillId="12" borderId="0" xfId="0" applyFill="1"/>
    <xf numFmtId="0" fontId="0" fillId="12" borderId="0" xfId="0" applyFill="1" applyAlignment="1">
      <alignment horizontal="left" vertical="center"/>
    </xf>
    <xf numFmtId="0" fontId="18" fillId="0" borderId="4" xfId="0" applyFont="1" applyBorder="1" applyAlignment="1">
      <alignment horizontal="left" vertical="center"/>
    </xf>
    <xf numFmtId="0" fontId="19" fillId="0" borderId="2" xfId="0" applyFont="1" applyBorder="1" applyAlignment="1">
      <alignment vertical="center" wrapText="1"/>
    </xf>
    <xf numFmtId="0" fontId="0" fillId="12" borderId="0" xfId="0" applyFill="1" applyAlignment="1">
      <alignment vertical="center"/>
    </xf>
    <xf numFmtId="0" fontId="18" fillId="0" borderId="7" xfId="0" applyFont="1" applyBorder="1" applyAlignment="1">
      <alignment vertical="center"/>
    </xf>
    <xf numFmtId="0" fontId="18" fillId="0" borderId="4" xfId="0" applyFont="1" applyBorder="1" applyAlignment="1">
      <alignment vertical="center"/>
    </xf>
    <xf numFmtId="0" fontId="18" fillId="0" borderId="4" xfId="0" applyFont="1" applyBorder="1" applyAlignment="1">
      <alignment horizontal="center" vertical="center"/>
    </xf>
    <xf numFmtId="0" fontId="18" fillId="0" borderId="8" xfId="0" applyFont="1" applyBorder="1" applyAlignment="1">
      <alignment horizontal="center" vertical="center"/>
    </xf>
    <xf numFmtId="0" fontId="19" fillId="0" borderId="5" xfId="0" applyFont="1" applyBorder="1" applyAlignment="1">
      <alignment vertical="center"/>
    </xf>
    <xf numFmtId="0" fontId="0" fillId="0" borderId="2" xfId="0" applyBorder="1" applyAlignment="1">
      <alignment vertical="center"/>
    </xf>
    <xf numFmtId="0" fontId="0" fillId="0" borderId="6" xfId="0" applyBorder="1" applyAlignment="1">
      <alignment vertical="center"/>
    </xf>
    <xf numFmtId="0" fontId="0" fillId="0" borderId="0" xfId="0" applyAlignment="1">
      <alignment vertical="center"/>
    </xf>
    <xf numFmtId="0" fontId="17" fillId="12" borderId="0" xfId="0" applyFont="1" applyFill="1" applyAlignment="1">
      <alignment horizontal="center" vertical="center" wrapText="1"/>
    </xf>
    <xf numFmtId="0" fontId="15" fillId="12" borderId="0" xfId="0" applyFont="1" applyFill="1" applyAlignment="1">
      <alignment horizontal="center" vertical="center" wrapText="1"/>
    </xf>
    <xf numFmtId="0" fontId="6" fillId="4" borderId="0" xfId="0" applyFont="1" applyFill="1" applyAlignment="1">
      <alignment horizontal="left" vertical="center" wrapText="1"/>
    </xf>
    <xf numFmtId="0" fontId="0" fillId="13" borderId="9" xfId="0" applyFont="1" applyFill="1" applyBorder="1" applyAlignment="1">
      <alignment wrapText="1"/>
    </xf>
    <xf numFmtId="0" fontId="19" fillId="0" borderId="6" xfId="0" applyFont="1" applyBorder="1" applyAlignment="1">
      <alignment vertical="center" wrapText="1"/>
    </xf>
    <xf numFmtId="0" fontId="13" fillId="13" borderId="9" xfId="0" applyFont="1" applyFill="1" applyBorder="1" applyAlignment="1">
      <alignment wrapText="1"/>
    </xf>
  </cellXfs>
  <cellStyles count="1">
    <cellStyle name="Normal" xfId="0" builtinId="0"/>
  </cellStyles>
  <dxfs count="190">
    <dxf>
      <font>
        <b/>
      </font>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outline="0">
        <left style="thin">
          <color theme="0"/>
        </left>
        <right style="thin">
          <color theme="0"/>
        </right>
        <top style="thin">
          <color theme="0"/>
        </top>
        <bottom style="thin">
          <color theme="0"/>
        </bottom>
      </border>
    </dxf>
    <dxf>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outline="0">
        <left/>
        <right style="thin">
          <color theme="0"/>
        </right>
        <top style="thin">
          <color theme="0"/>
        </top>
        <bottom style="thin">
          <color theme="0"/>
        </bottom>
      </border>
    </dxf>
    <dxf>
      <fill>
        <patternFill patternType="solid">
          <fgColor theme="5" tint="0.59999389629810485"/>
          <bgColor theme="5" tint="0.59999389629810485"/>
        </patternFill>
      </fill>
      <alignment horizontal="general" vertical="bottom" textRotation="0" wrapText="1" indent="0" justifyLastLine="0" shrinkToFit="0" readingOrder="0"/>
      <border diagonalUp="0" diagonalDown="0" outline="0">
        <left style="thin">
          <color theme="0"/>
        </left>
        <right/>
        <top style="thin">
          <color theme="0"/>
        </top>
        <bottom style="thin">
          <color theme="0"/>
        </bottom>
      </border>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alignment wrapText="1" readingOrder="0"/>
    </dxf>
    <dxf>
      <alignment wrapText="1" readingOrder="0"/>
    </dxf>
    <dxf>
      <alignment wrapText="1" readingOrder="0"/>
    </dxf>
    <dxf>
      <alignment wrapText="1" readingOrder="0"/>
    </dxf>
    <dxf>
      <alignment wrapText="1" readingOrder="0"/>
    </dxf>
    <dxf>
      <alignment wrapText="1" readingOrder="0"/>
    </dxf>
    <dxf>
      <alignment wrapText="1"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bottom"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top"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alignment vertical="center" readingOrder="0"/>
    </dxf>
    <dxf>
      <numFmt numFmtId="2" formatCode="0.00"/>
    </dxf>
    <dxf>
      <fill>
        <patternFill patternType="none"/>
      </fill>
    </dxf>
    <dxf>
      <fill>
        <patternFill patternType="solid">
          <fgColor indexed="64"/>
          <bgColor rgb="FF92D050"/>
        </patternFill>
      </fill>
    </dxf>
    <dxf>
      <fill>
        <patternFill patternType="solid">
          <fgColor indexed="64"/>
          <bgColor rgb="FF92D050"/>
        </patternFill>
      </fill>
    </dxf>
    <dxf>
      <fill>
        <patternFill patternType="none"/>
      </fill>
    </dxf>
    <dxf>
      <fill>
        <patternFill patternType="solid">
          <fgColor indexed="64"/>
          <bgColor rgb="FF92D050"/>
        </patternFill>
      </fill>
    </dxf>
    <dxf>
      <fill>
        <patternFill patternType="solid">
          <fgColor indexed="64"/>
          <bgColor rgb="FF92D050"/>
        </patternFill>
      </fill>
    </dxf>
    <dxf>
      <fill>
        <patternFill patternType="solid">
          <fgColor indexed="64"/>
          <bgColor rgb="FF92D050"/>
        </patternFill>
      </fill>
    </dxf>
    <dxf>
      <font>
        <b/>
      </font>
    </dxf>
    <dxf>
      <font>
        <b/>
      </font>
    </dxf>
    <dxf>
      <font>
        <b/>
      </font>
    </dxf>
    <dxf>
      <font>
        <b/>
      </font>
    </dxf>
    <dxf>
      <font>
        <b/>
      </font>
    </dxf>
    <dxf>
      <font>
        <b/>
      </font>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alignment wrapText="1"/>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4"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4" formatCode="#,##0.0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F800]dddd\,\ mmmm\ dd\,\ yyyy"/>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4" formatCode="[$-F800]dddd\,\ mmmm\ dd\,\ 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fill>
        <patternFill patternType="none">
          <fgColor indexed="64"/>
          <bgColor indexed="65"/>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general" vertical="center" textRotation="0" wrapText="1"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4"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4" formatCode="#,##0.00"/>
      <fill>
        <patternFill patternType="none">
          <fgColor indexed="64"/>
          <bgColor indexed="65"/>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numFmt numFmtId="164" formatCode="[$-F800]dddd\,\ mmmm\ dd\,\ yyyy"/>
      <alignment horizontal="center" vertical="center" textRotation="0" wrapText="1" indent="0" justifyLastLine="0" shrinkToFit="0" readingOrder="0"/>
    </dxf>
    <dxf>
      <font>
        <b val="0"/>
        <i val="0"/>
        <strike val="0"/>
        <condense val="0"/>
        <extend val="0"/>
        <outline val="0"/>
        <shadow val="0"/>
        <u val="none"/>
        <vertAlign val="baseline"/>
        <sz val="10"/>
        <color theme="1"/>
        <name val="Calibri"/>
        <scheme val="minor"/>
      </font>
      <numFmt numFmtId="164" formatCode="[$-F800]dddd\,\ mmmm\ dd\,\ yyyy"/>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alignment vertical="center" textRotation="0" indent="0" justifyLastLine="0" shrinkToFit="0" readingOrder="0"/>
    </dxf>
    <dxf>
      <font>
        <strike val="0"/>
        <outline val="0"/>
        <shadow val="0"/>
        <u val="none"/>
        <vertAlign val="baseline"/>
        <sz val="10"/>
        <color theme="1"/>
        <name val="Calibri"/>
        <scheme val="minor"/>
      </font>
      <alignment horizontal="general" vertical="center" textRotation="0" wrapText="1" indent="0" justifyLastLine="0" shrinkToFit="0" readingOrder="0"/>
    </dxf>
    <dxf>
      <alignment horizontal="left" vertical="center" textRotation="0" wrapText="1" indent="0" justifyLastLine="0" shrinkToFit="0" readingOrder="0"/>
    </dxf>
    <dxf>
      <alignment vertical="center" textRotation="0" indent="0" justifyLastLine="0" shrinkToFit="0" readingOrder="0"/>
      <border diagonalUp="0" diagonalDown="0" outline="0">
        <left style="thin">
          <color indexed="64"/>
        </left>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alignment vertical="center" textRotation="0" indent="0" justifyLastLine="0" shrinkToFit="0" readingOrder="0"/>
      <border diagonalUp="0" diagonalDown="0" outline="0">
        <left/>
        <right style="thin">
          <color indexed="64"/>
        </right>
        <top style="thin">
          <color indexed="64"/>
        </top>
        <bottom style="thin">
          <color indexed="64"/>
        </bottom>
      </border>
    </dxf>
    <dxf>
      <alignment vertical="center" textRotation="0" indent="0" justifyLastLine="0" shrinkToFit="0" readingOrder="0"/>
      <border diagonalUp="0" diagonalDown="0" outline="0">
        <left style="thin">
          <color indexed="64"/>
        </left>
        <right/>
        <top style="thin">
          <color indexed="64"/>
        </top>
        <bottom style="thin">
          <color indexed="64"/>
        </bottom>
      </border>
    </dxf>
    <dxf>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color theme="1"/>
        <name val="Arial"/>
        <family val="2"/>
        <scheme val="none"/>
      </font>
      <alignment vertical="center" textRotation="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center" textRotation="0" indent="0" justifyLastLine="0" shrinkToFit="0" readingOrder="0"/>
    </dxf>
    <dxf>
      <border>
        <bottom style="thin">
          <color indexed="64"/>
        </bottom>
      </border>
    </dxf>
    <dxf>
      <font>
        <b/>
        <strike val="0"/>
        <outline val="0"/>
        <shadow val="0"/>
        <u val="none"/>
        <vertAlign val="baseline"/>
        <color theme="0"/>
      </font>
      <alignment vertical="center" textRotation="0" indent="0" justifyLastLine="0" shrinkToFit="0" readingOrder="0"/>
      <border diagonalUp="0" diagonalDown="0" outline="0">
        <left style="thin">
          <color indexed="64"/>
        </left>
        <right style="thin">
          <color indexed="64"/>
        </right>
        <top/>
        <bottom/>
      </border>
    </dxf>
  </dxfs>
  <tableStyles count="1" defaultTableStyle="TableStyleMedium9" defaultPivotStyle="PivotStyleLight16">
    <tableStyle name="Invisible" pivot="0" table="0" count="0" xr9:uid="{9AEBBE85-47F1-41B8-BF78-8B035878E580}"/>
  </tableStyles>
  <colors>
    <mruColors>
      <color rgb="FF66FFFF"/>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Análisis de Estatus - Repercusión de la Prueba Integral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s-MX"/>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MX"/>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317500" algn="ctr" rotWithShape="0">
              <a:prstClr val="black">
                <a:alpha val="25000"/>
              </a:prstClr>
            </a:outerShdw>
          </a:effectLst>
        </c:spPr>
      </c:pivotFmt>
    </c:pivotFmts>
    <c:plotArea>
      <c:layout/>
      <c:doughnutChart>
        <c:varyColors val="1"/>
        <c:dLbls>
          <c:showLegendKey val="0"/>
          <c:showVal val="0"/>
          <c:showCatName val="0"/>
          <c:showSerName val="0"/>
          <c:showPercent val="1"/>
          <c:showBubbleSize val="0"/>
          <c:showLeaderLines val="0"/>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MX"/>
        </a:p>
      </c:txPr>
    </c:legend>
    <c:plotVisOnly val="1"/>
    <c:dispBlanksAs val="gap"/>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MX"/>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1398814</xdr:colOff>
      <xdr:row>4</xdr:row>
      <xdr:rowOff>139700</xdr:rowOff>
    </xdr:to>
    <xdr:pic>
      <xdr:nvPicPr>
        <xdr:cNvPr id="8" name="Imagen 7">
          <a:extLst>
            <a:ext uri="{FF2B5EF4-FFF2-40B4-BE49-F238E27FC236}">
              <a16:creationId xmlns:a16="http://schemas.microsoft.com/office/drawing/2014/main" id="{ABB10B36-AB0E-4A75-8654-10C07F74CC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0482489" cy="904875"/>
        </a:xfrm>
        <a:prstGeom prst="rect">
          <a:avLst/>
        </a:prstGeom>
        <a:noFill/>
        <a:ln>
          <a:noFill/>
        </a:ln>
      </xdr:spPr>
    </xdr:pic>
    <xdr:clientData/>
  </xdr:twoCellAnchor>
  <xdr:twoCellAnchor editAs="oneCell">
    <xdr:from>
      <xdr:col>9</xdr:col>
      <xdr:colOff>1502833</xdr:colOff>
      <xdr:row>0</xdr:row>
      <xdr:rowOff>127000</xdr:rowOff>
    </xdr:from>
    <xdr:to>
      <xdr:col>10</xdr:col>
      <xdr:colOff>331258</xdr:colOff>
      <xdr:row>3</xdr:row>
      <xdr:rowOff>37011</xdr:rowOff>
    </xdr:to>
    <xdr:pic>
      <xdr:nvPicPr>
        <xdr:cNvPr id="3" name="Picture 2">
          <a:extLst>
            <a:ext uri="{FF2B5EF4-FFF2-40B4-BE49-F238E27FC236}">
              <a16:creationId xmlns:a16="http://schemas.microsoft.com/office/drawing/2014/main" id="{61455290-6114-4004-99EF-21D0526965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133666" y="127000"/>
          <a:ext cx="1209675" cy="506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98964</xdr:colOff>
      <xdr:row>0</xdr:row>
      <xdr:rowOff>155306</xdr:rowOff>
    </xdr:from>
    <xdr:to>
      <xdr:col>2</xdr:col>
      <xdr:colOff>1484448</xdr:colOff>
      <xdr:row>4</xdr:row>
      <xdr:rowOff>131684</xdr:rowOff>
    </xdr:to>
    <xdr:pic>
      <xdr:nvPicPr>
        <xdr:cNvPr id="2" name="Imagen 1">
          <a:extLst>
            <a:ext uri="{FF2B5EF4-FFF2-40B4-BE49-F238E27FC236}">
              <a16:creationId xmlns:a16="http://schemas.microsoft.com/office/drawing/2014/main" id="{74D9A1F2-7ADF-4AC2-B0B1-811F10ED5DF3}"/>
            </a:ext>
          </a:extLst>
        </xdr:cNvPr>
        <xdr:cNvPicPr>
          <a:picLocks noChangeAspect="1"/>
        </xdr:cNvPicPr>
      </xdr:nvPicPr>
      <xdr:blipFill>
        <a:blip xmlns:r="http://schemas.openxmlformats.org/officeDocument/2006/relationships" r:embed="rId1"/>
        <a:stretch>
          <a:fillRect/>
        </a:stretch>
      </xdr:blipFill>
      <xdr:spPr>
        <a:xfrm>
          <a:off x="98964" y="155306"/>
          <a:ext cx="2886882" cy="7512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836084</xdr:colOff>
      <xdr:row>16</xdr:row>
      <xdr:rowOff>110067</xdr:rowOff>
    </xdr:from>
    <xdr:to>
      <xdr:col>9</xdr:col>
      <xdr:colOff>1227667</xdr:colOff>
      <xdr:row>36</xdr:row>
      <xdr:rowOff>52917</xdr:rowOff>
    </xdr:to>
    <xdr:graphicFrame macro="">
      <xdr:nvGraphicFramePr>
        <xdr:cNvPr id="6" name="Gráfico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14817</xdr:colOff>
      <xdr:row>0</xdr:row>
      <xdr:rowOff>0</xdr:rowOff>
    </xdr:from>
    <xdr:to>
      <xdr:col>8</xdr:col>
      <xdr:colOff>875242</xdr:colOff>
      <xdr:row>5</xdr:row>
      <xdr:rowOff>0</xdr:rowOff>
    </xdr:to>
    <xdr:pic>
      <xdr:nvPicPr>
        <xdr:cNvPr id="10" name="Imagen 9">
          <a:extLst>
            <a:ext uri="{FF2B5EF4-FFF2-40B4-BE49-F238E27FC236}">
              <a16:creationId xmlns:a16="http://schemas.microsoft.com/office/drawing/2014/main" id="{07555606-6DC6-4943-A321-8787CDFA364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817" y="0"/>
          <a:ext cx="10424583" cy="952500"/>
        </a:xfrm>
        <a:prstGeom prst="rect">
          <a:avLst/>
        </a:prstGeom>
        <a:noFill/>
        <a:ln>
          <a:noFill/>
        </a:ln>
      </xdr:spPr>
    </xdr:pic>
    <xdr:clientData/>
  </xdr:twoCellAnchor>
  <xdr:twoCellAnchor editAs="oneCell">
    <xdr:from>
      <xdr:col>7</xdr:col>
      <xdr:colOff>444500</xdr:colOff>
      <xdr:row>0</xdr:row>
      <xdr:rowOff>158750</xdr:rowOff>
    </xdr:from>
    <xdr:to>
      <xdr:col>8</xdr:col>
      <xdr:colOff>373592</xdr:colOff>
      <xdr:row>3</xdr:row>
      <xdr:rowOff>94161</xdr:rowOff>
    </xdr:to>
    <xdr:pic>
      <xdr:nvPicPr>
        <xdr:cNvPr id="2" name="Picture 2">
          <a:extLst>
            <a:ext uri="{FF2B5EF4-FFF2-40B4-BE49-F238E27FC236}">
              <a16:creationId xmlns:a16="http://schemas.microsoft.com/office/drawing/2014/main" id="{11B95EC2-CE18-4E99-B45C-7400C71CE46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815917" y="158750"/>
          <a:ext cx="1209675" cy="506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134055</xdr:colOff>
      <xdr:row>5</xdr:row>
      <xdr:rowOff>0</xdr:rowOff>
    </xdr:to>
    <xdr:pic>
      <xdr:nvPicPr>
        <xdr:cNvPr id="9" name="Imagen 8">
          <a:extLst>
            <a:ext uri="{FF2B5EF4-FFF2-40B4-BE49-F238E27FC236}">
              <a16:creationId xmlns:a16="http://schemas.microsoft.com/office/drawing/2014/main" id="{6FAA68A5-2308-4198-A88D-004D56C87C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0424583" cy="952500"/>
        </a:xfrm>
        <a:prstGeom prst="rect">
          <a:avLst/>
        </a:prstGeom>
        <a:noFill/>
        <a:ln>
          <a:noFill/>
        </a:ln>
      </xdr:spPr>
    </xdr:pic>
    <xdr:clientData/>
  </xdr:twoCellAnchor>
  <xdr:twoCellAnchor editAs="oneCell">
    <xdr:from>
      <xdr:col>6</xdr:col>
      <xdr:colOff>910167</xdr:colOff>
      <xdr:row>0</xdr:row>
      <xdr:rowOff>148166</xdr:rowOff>
    </xdr:from>
    <xdr:to>
      <xdr:col>6</xdr:col>
      <xdr:colOff>2119842</xdr:colOff>
      <xdr:row>3</xdr:row>
      <xdr:rowOff>83577</xdr:rowOff>
    </xdr:to>
    <xdr:pic>
      <xdr:nvPicPr>
        <xdr:cNvPr id="2" name="Picture 2">
          <a:extLst>
            <a:ext uri="{FF2B5EF4-FFF2-40B4-BE49-F238E27FC236}">
              <a16:creationId xmlns:a16="http://schemas.microsoft.com/office/drawing/2014/main" id="{06EFDFDF-6C36-4805-B772-23B4EF3A4C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456084" y="148166"/>
          <a:ext cx="1209675" cy="5069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4979.572320023151" createdVersion="6" refreshedVersion="8" minRefreshableVersion="3" recordCount="142" xr:uid="{00000000-000A-0000-FFFF-FFFF00000000}">
  <cacheSource type="worksheet">
    <worksheetSource name="Table13"/>
  </cacheSource>
  <cacheFields count="23">
    <cacheField name="ID" numFmtId="0">
      <sharedItems containsSemiMixedTypes="0" containsString="0" containsNumber="1" containsInteger="1" minValue="1" maxValue="142"/>
    </cacheField>
    <cacheField name="Fecha Estimada" numFmtId="0">
      <sharedItems containsNonDate="0" containsString="0" containsBlank="1"/>
    </cacheField>
    <cacheField name="Tiempo Estimado (Hrs.)" numFmtId="0">
      <sharedItems containsNonDate="0" containsString="0" containsBlank="1"/>
    </cacheField>
    <cacheField name="Módulo Principal" numFmtId="0">
      <sharedItems containsBlank="1" count="15">
        <s v="Contabilidad General"/>
        <s v="Gestión de Efectivo y Bancos"/>
        <s v="Gestión presupuestaria"/>
        <s v="Gestión de Proyectos y Contabilidad"/>
        <s v="Gestión e Información de Productos"/>
        <s v="Adquisición Abastecimiento"/>
        <s v="Flujos Trabajo SC"/>
        <s v="Flujos Trabajo OC"/>
        <s v="Administración de Inventario"/>
        <s v="Ventas y Marketing"/>
        <s v="Cuentas por Pagar"/>
        <s v="Cuentas por Cobrar"/>
        <s v="Activo Fijo"/>
        <s v="Impuestos"/>
        <m u="1"/>
      </sharedItems>
    </cacheField>
    <cacheField name="Flujo" numFmtId="0">
      <sharedItems containsNonDate="0" containsBlank="1" count="17">
        <m/>
        <s v="F1 - Ventas Directas" u="1"/>
        <s v="D4 - Venta de Activo Fijo" u="1"/>
        <s v="D7 - Procesos de Finanzas" u="1"/>
        <s v="D1 - Ventas Directas" u="1"/>
        <s v="F3 - Arrendamiento, Comodato, Servicio Integral" u="1"/>
        <s v="D3 - Arrendamiento, Comodato, Servicio Integral" u="1"/>
        <s v="F2 - Proyecto con Venta de Equipo y Adecuación" u="1"/>
        <s v="F 1" u="1"/>
        <s v="F 2" u="1"/>
        <s v="F6 - Compras Administrativas" u="1"/>
        <s v="F5 - Proyectos de Marketing" u="1"/>
        <s v="D2 - Proyecto con Venta de Equipo y Adecuación" u="1"/>
        <s v="D6 - Compras Administrativas" u="1"/>
        <s v="F4 - Venta de Activo Fijo" u="1"/>
        <s v="F7 - Procesos de Finanzas" u="1"/>
        <s v="D5 - Proyectos de Marketing" u="1"/>
      </sharedItems>
    </cacheField>
    <cacheField name="L1 - Categoría" numFmtId="0">
      <sharedItems containsNonDate="0" containsBlank="1" count="3">
        <m/>
        <s v="Categoría 1" u="1"/>
        <s v="Categoría 2" u="1"/>
      </sharedItems>
    </cacheField>
    <cacheField name="L2 - Grupo de Procesos" numFmtId="0">
      <sharedItems containsNonDate="0" containsBlank="1" count="5">
        <m/>
        <s v="GP 4" u="1"/>
        <s v="GP 3" u="1"/>
        <s v="GP 2" u="1"/>
        <s v="GP 1" u="1"/>
      </sharedItems>
    </cacheField>
    <cacheField name="L3 - Proceso" numFmtId="0">
      <sharedItems containsNonDate="0" containsBlank="1" count="9">
        <m/>
        <s v="P8" u="1"/>
        <s v="P3" u="1"/>
        <s v="P5" u="1"/>
        <s v="P7" u="1"/>
        <s v="P2" u="1"/>
        <s v="P 1" u="1"/>
        <s v="P4" u="1"/>
        <s v="P6" u="1"/>
      </sharedItems>
    </cacheField>
    <cacheField name="L4 - Actividadad" numFmtId="0">
      <sharedItems containsNonDate="0" containsBlank="1" count="21">
        <m/>
        <s v="A 18" u="1"/>
        <s v="A 17" u="1"/>
        <s v="A 16" u="1"/>
        <s v="A 15" u="1"/>
        <s v="A 14" u="1"/>
        <s v="A 13" u="1"/>
        <s v="A 1" u="1"/>
        <s v="A 2" u="1"/>
        <s v="A 3" u="1"/>
        <s v="A 4" u="1"/>
        <s v="A 12" u="1"/>
        <s v="A 5" u="1"/>
        <s v="A 6" u="1"/>
        <s v="A 7" u="1"/>
        <s v="A 11" u="1"/>
        <s v="A 8" u="1"/>
        <s v="A 9" u="1"/>
        <s v="A 10" u="1"/>
        <s v="A 20" u="1"/>
        <s v="A 19" u="1"/>
      </sharedItems>
    </cacheField>
    <cacheField name="Nombre de la Prueba" numFmtId="0">
      <sharedItems/>
    </cacheField>
    <cacheField name="Descripción de  la Prueba" numFmtId="0">
      <sharedItems containsBlank="1" longText="1"/>
    </cacheField>
    <cacheField name="Departamento / Área" numFmtId="0">
      <sharedItems containsBlank="1" count="63">
        <s v="Contabilidad"/>
        <s v="Contabilidad / TI"/>
        <s v="Tesorería"/>
        <s v="Presupuestos"/>
        <s v="Control de costos y proyectos"/>
        <s v="Compras_x000a_Proyectos"/>
        <s v="Compras_x000a_"/>
        <s v="Compras"/>
        <s v="Compras / Cost Cont / Dir COMPRAS / DIR FINAN"/>
        <s v="ALMACÉN"/>
        <s v="Almacen_x000a_Cost Controller"/>
        <s v="ALM Jessica"/>
        <s v="ALM Ramón"/>
        <s v="Cuentas por Pagar"/>
        <s v="CXP / DIR FINAN"/>
        <s v="Tesorería / Contabilidad "/>
        <s v="Cuentas por Pagar / Tesoreria"/>
        <s v="Cuentas por Pagar / Contabilidad"/>
        <s v="Cuentas por Cobrar"/>
        <s v="CMR (Soporte Técnico)" u="1"/>
        <m u="1"/>
        <s v="Compras Misceláneos" u="1"/>
        <s v="Marketing" u="1"/>
        <s v="Desarrollo" u="1"/>
        <s v="Ventas (Asesores Comerciales)" u="1"/>
        <s v="Gerencias de Producto / Ventas" u="1"/>
        <s v="Gerencia de Producto (Ultrasonido)" u="1"/>
        <s v="Administración de Ventas" u="1"/>
        <s v="Dirección Comercial" u="1"/>
        <s v="Direccion" u="1"/>
        <s v="Cuentas por pagar/sucursales" u="1"/>
        <s v="4.2.2.4. Orden de Compra" u="1"/>
        <s v="Calidad" u="1"/>
        <s v="Gerencias de Producto / _x000a_Logística y Transporte" u="1"/>
        <s v="SGC (Sistema de Gestión de Calidad)" u="1"/>
        <s v="Gerencia de Producto (PACS)" u="1"/>
        <s v="Contabilidad/Cuentas por pagar" u="1"/>
        <s v="SCS" u="1"/>
        <s v="Ventas Servicio" u="1"/>
        <s v="Contabilidad/Logistica y transporte" u="1"/>
        <s v="Operaciones" u="1"/>
        <s v="Gerencias de Producto" u="1"/>
        <s v="Gerencia de Producto (Tomografía)" u="1"/>
        <s v="Áreas Administrativas" u="1"/>
        <s v="Gerencias de Producto/Direccion" u="1"/>
        <s v="Gerencia de Producto (Ultrasonido) / Dirección Comercial" u="1"/>
        <s v="Logística y Transporte" u="1"/>
        <s v="Logística" u="1"/>
        <s v="Ingeniero de Servicio" u="1"/>
        <s v="SCS (Seguimiento de Control de Servicio)" u="1"/>
        <s v="Ingeniería de servicio" u="1"/>
        <s v="Gestión de Planeación y Presupuesto" u="1"/>
        <s v="Gerencias de Producto / Logística y Transporte / Tráfico / Contabilidad / Ventas" u="1"/>
        <s v="Jefes de Servicio" u="1"/>
        <s v="Administración de  Ingeniería" u="1"/>
        <s v="Tráfico" u="1"/>
        <s v="8.2.1.1. Límite de Crédito y días de vencimiento" u="1"/>
        <s v="Logística y Trasnporte" u="1"/>
        <s v="Gerencia de Producto (Radioterapia)" u="1"/>
        <s v="Jefe/Ingeniero de Servicio" u="1"/>
        <s v="Gerencias de Producto/_x000a_Logística y Transporte" u="1"/>
        <s v="Jefe de Servicio" u="1"/>
        <s v="Gerencias de Producto / Logística y Transporte" u="1"/>
      </sharedItems>
    </cacheField>
    <cacheField name="Usuario(s) a Ejecutar la Prueba" numFmtId="0">
      <sharedItems containsBlank="1" count="57">
        <s v="Andrés"/>
        <s v="Fernanda Santa Cruz "/>
        <s v="Mauricio"/>
        <s v="Mirjana / Ovidio / Anabel"/>
        <s v="María Alejandra_x000a_Mirjana / Ovidio / Anabel"/>
        <s v="María Alejandra"/>
        <m/>
        <s v="Jessica"/>
        <s v="Ramón"/>
        <s v="Ramón_x000a_Mirjana"/>
        <s v="Diana"/>
        <s v="Andrés "/>
        <s v="Fernanda Santa Cruz / Andrés Ayala "/>
        <s v="Diana / Fernanda"/>
        <s v="Andrés/Fernanda"/>
        <s v="Diana / Andrés"/>
        <s v="Diana / Jesús / Nancy / Andrés"/>
        <s v="Diana / Jesús / Nancy"/>
        <s v="Julieta / Fernanda"/>
        <s v="Andrés / cxc / cxp"/>
        <s v="Julieta"/>
        <s v="Cecilia Torrentera" u="1"/>
        <s v="Lizet Heredia / Maria del Mar Pérez / Guadalupe Landaverde / Ana Carolina López / Ingrid Guzmán / Alfa Carolina Maldonado / Lucio Huerta" u="1"/>
        <s v="Lucio Huerta" u="1"/>
        <s v="Fabiola Gonzalez" u="1"/>
        <s v="Edna Lemus" u="1"/>
        <s v="???" u="1"/>
        <s v="Luz María Vázquez" u="1"/>
        <s v="Carlos Navarrete" u="1"/>
        <s v="Lizet Heredia / Maria del Mar Pérez / Guadalupe Landaverde / Ana Carolina López / Ingrid Guzmán / Alfa Carolina Maldonado" u="1"/>
        <s v="Rosa García" u="1"/>
        <s v="Eruviel Vázquez / Claudia Luis" u="1"/>
        <s v="Alfa Carolina Maldonado" u="1"/>
        <s v="Aracelí Decilagua" u="1"/>
        <s v="Cinthya Conde" u="1"/>
        <s v="Ana Carolina López / ???" u="1"/>
        <s v="Ana Carolina López" u="1"/>
        <s v="Fabiola Gonzalez/Elsa Vazquez" u="1"/>
        <s v="Edith Fernandez / Trinidad Navarro" u="1"/>
        <s v="Christian García / Carlos López" u="1"/>
        <s v="Lizet Heredia / Maria del Mar Pérez / Guadalupe Landaverde / Ana Carolina López / Ingrid Guzmán / Alfa Carolina Maldonado / Lucio Huerta / Rosa García / Elsa Vázquez / Maria Elena Quintana" u="1"/>
        <s v="Diego Murguia" u="1"/>
        <s v="María Elena Quintana" u="1"/>
        <s v="Maria Elena Quintana" u="1"/>
        <s v="Lizet Heredia / Maria del Mar Pérez / " u="1"/>
        <s v="María del Mar Pérez" u="1"/>
        <s v="Elsa Vazquez" u="1"/>
        <s v="Ana Rocatti" u="1"/>
        <s v="Lizet Heredia / Maria del Mar Pérez / Guadalupe Landaverde / Ana Carolina López / Ingrid Guzmán / Alfa Carolina Maldonado / Rosa García" u="1"/>
        <s v="Diego Munguía" u="1"/>
        <s v="Lizet Heredia" u="1"/>
        <s v="Carlos García " u="1"/>
        <s v="Norberto Memije" u="1"/>
        <s v="Ernesto Cestelos" u="1"/>
        <s v="Noemí Rivera / César Cruz" u="1"/>
        <s v="Sofía Sanchez" u="1"/>
        <s v="Norberto Troncoso_x000a_Abraham Miranda" u="1"/>
      </sharedItems>
    </cacheField>
    <cacheField name="Duración Minutos" numFmtId="0">
      <sharedItems containsString="0" containsBlank="1" containsNumber="1" containsInteger="1" minValue="5" maxValue="60"/>
    </cacheField>
    <cacheField name="Consultor Responsable" numFmtId="0">
      <sharedItems containsBlank="1"/>
    </cacheField>
    <cacheField name="Fecha Real" numFmtId="0">
      <sharedItems containsBlank="1"/>
    </cacheField>
    <cacheField name="Tiempo Real (Hrs.)" numFmtId="0">
      <sharedItems containsBlank="1"/>
    </cacheField>
    <cacheField name="Estatus" numFmtId="0">
      <sharedItems containsBlank="1" count="5">
        <s v="Aprobada"/>
        <s v="Cancelada"/>
        <s v="Pendiente"/>
        <m/>
        <s v="Rechazada" u="1"/>
      </sharedItems>
    </cacheField>
    <cacheField name="Repercusión" numFmtId="0">
      <sharedItems containsBlank="1" count="7">
        <s v="Aprobar"/>
        <m/>
        <s v="Cancelar"/>
        <s v="Pendiente"/>
        <s v="Modificar Funcionalidad"/>
        <s v="Modificar Proceso" u="1"/>
        <s v="Modificar Configuración" u="1"/>
      </sharedItems>
    </cacheField>
    <cacheField name="Resultado obtenido" numFmtId="0">
      <sharedItems containsBlank="1"/>
    </cacheField>
    <cacheField name="Responsable pendiente" numFmtId="0">
      <sharedItems containsBlank="1"/>
    </cacheField>
    <cacheField name="Observaciones GCG" numFmtId="0">
      <sharedItems containsBlank="1" longText="1"/>
    </cacheField>
    <cacheField name="Observaciones Cliente"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2">
  <r>
    <n v="1"/>
    <m/>
    <m/>
    <x v="0"/>
    <x v="0"/>
    <x v="0"/>
    <x v="0"/>
    <x v="0"/>
    <x v="0"/>
    <s v="Apertura del Periódo "/>
    <s v="Abrir el periódo para transaccionar"/>
    <x v="0"/>
    <x v="0"/>
    <n v="5"/>
    <s v="Christian Aguila"/>
    <m/>
    <m/>
    <x v="0"/>
    <x v="0"/>
    <s v="SATISFACTORIO"/>
    <m/>
    <m/>
    <m/>
  </r>
  <r>
    <n v="2"/>
    <m/>
    <m/>
    <x v="0"/>
    <x v="0"/>
    <x v="0"/>
    <x v="0"/>
    <x v="0"/>
    <x v="0"/>
    <s v="Carga de saldos iniciales"/>
    <s v="Carga de saldos iniciales"/>
    <x v="0"/>
    <x v="0"/>
    <n v="30"/>
    <s v="Christian Aguila"/>
    <m/>
    <m/>
    <x v="0"/>
    <x v="0"/>
    <s v="SATISFACTORIO"/>
    <m/>
    <m/>
    <s v="LA CARGA DE SALDOS CORRESPONDIENTES A LOS MÓDULOS LOS REALIZARÁ LA PERSONA ENCARGADA DEL MÓDULO, CONTABILIDAD SÓLO CARGARÁ EL MONTO TOTAL._x000a_CONSIDERAR REUNION INTERNA PARA VALIDAR LA CARGA DE SI, Y EXPONER PUNTOS CON CONSULTORES PARA TENER EN EL SISTEMA LA INFORMACIÓN CORRECTA"/>
  </r>
  <r>
    <n v="3"/>
    <m/>
    <m/>
    <x v="0"/>
    <x v="0"/>
    <x v="0"/>
    <x v="0"/>
    <x v="0"/>
    <x v="0"/>
    <s v="Creación de perfiles"/>
    <s v="Creación de Grupos de Usuarios (Para Cierre de Periódo)"/>
    <x v="1"/>
    <x v="0"/>
    <n v="5"/>
    <s v="Christian Aguila"/>
    <m/>
    <m/>
    <x v="0"/>
    <x v="0"/>
    <s v="SATISFACTORIO"/>
    <m/>
    <m/>
    <s v="SE SOLICITARÁ LA CREACIÓN DE GRUPOS DE USUARIOS CON TI PARA TENER EL CONTROL Y GOBIERNO DE DATOS"/>
  </r>
  <r>
    <n v="87"/>
    <m/>
    <m/>
    <x v="1"/>
    <x v="0"/>
    <x v="0"/>
    <x v="0"/>
    <x v="0"/>
    <x v="0"/>
    <s v="Conjunto de bancos "/>
    <s v="Crear los conjuntos de bancos necesarios para la operación."/>
    <x v="2"/>
    <x v="1"/>
    <n v="10"/>
    <s v="Fredy"/>
    <m/>
    <m/>
    <x v="0"/>
    <x v="1"/>
    <s v="SATISFACTORIO"/>
    <m/>
    <m/>
    <m/>
  </r>
  <r>
    <n v="88"/>
    <m/>
    <m/>
    <x v="1"/>
    <x v="0"/>
    <x v="0"/>
    <x v="0"/>
    <x v="0"/>
    <x v="0"/>
    <s v="Cuentas bancarias"/>
    <s v="Crear las cuentas bancarias necesarias para la operación / Modificar cuentas bancarias. "/>
    <x v="2"/>
    <x v="1"/>
    <n v="10"/>
    <s v="Fredy"/>
    <m/>
    <m/>
    <x v="0"/>
    <x v="1"/>
    <s v="SATISFACTORIO"/>
    <m/>
    <m/>
    <m/>
  </r>
  <r>
    <n v="6"/>
    <m/>
    <m/>
    <x v="2"/>
    <x v="0"/>
    <x v="0"/>
    <x v="0"/>
    <x v="0"/>
    <x v="0"/>
    <s v="Carga de AFE (Cuentas Contables)"/>
    <s v="Carga de Presupuesto por Pozo Etapa"/>
    <x v="3"/>
    <x v="2"/>
    <n v="60"/>
    <m/>
    <m/>
    <m/>
    <x v="0"/>
    <x v="0"/>
    <s v="SATISFACTORIO"/>
    <m/>
    <m/>
    <m/>
  </r>
  <r>
    <n v="7"/>
    <m/>
    <m/>
    <x v="3"/>
    <x v="0"/>
    <x v="0"/>
    <x v="0"/>
    <x v="0"/>
    <x v="0"/>
    <s v="Creacion de Proyecto / Subpro"/>
    <s v="Generación de un Proyecto con Pozos y Etapas"/>
    <x v="4"/>
    <x v="3"/>
    <n v="20"/>
    <s v="Christian Aguila"/>
    <m/>
    <m/>
    <x v="0"/>
    <x v="0"/>
    <s v="SATISFACTORIO"/>
    <m/>
    <m/>
    <m/>
  </r>
  <r>
    <n v="8"/>
    <m/>
    <m/>
    <x v="3"/>
    <x v="0"/>
    <x v="0"/>
    <x v="0"/>
    <x v="0"/>
    <x v="0"/>
    <s v="Creacion de Etapas de Contingencia"/>
    <s v="Generación de etapas adicionales a un proyecto ya creado"/>
    <x v="4"/>
    <x v="3"/>
    <n v="20"/>
    <s v="Christian Aguila"/>
    <m/>
    <m/>
    <x v="0"/>
    <x v="0"/>
    <s v="SATISFACTORIO"/>
    <m/>
    <m/>
    <m/>
  </r>
  <r>
    <n v="9"/>
    <m/>
    <m/>
    <x v="4"/>
    <x v="0"/>
    <x v="0"/>
    <x v="0"/>
    <x v="0"/>
    <x v="0"/>
    <s v="Alta de Artículo o Producto Nuevo (Tipo Artículo / Servicio)"/>
    <m/>
    <x v="5"/>
    <x v="4"/>
    <n v="15"/>
    <s v="Luis Ramírez"/>
    <m/>
    <m/>
    <x v="0"/>
    <x v="0"/>
    <s v="SATISFACTORIO"/>
    <m/>
    <m/>
    <s v="Definir responsable de cargas masivas."/>
  </r>
  <r>
    <n v="10"/>
    <m/>
    <m/>
    <x v="4"/>
    <x v="0"/>
    <x v="0"/>
    <x v="0"/>
    <x v="0"/>
    <x v="0"/>
    <s v="Unidad de medida nueva"/>
    <m/>
    <x v="6"/>
    <x v="5"/>
    <n v="5"/>
    <s v="Luis Ramírez"/>
    <m/>
    <m/>
    <x v="0"/>
    <x v="0"/>
    <s v="SATISFACTORIO"/>
    <m/>
    <m/>
    <s v="Revisar el grupo de impuestos de los artículos."/>
  </r>
  <r>
    <n v="11"/>
    <m/>
    <m/>
    <x v="5"/>
    <x v="0"/>
    <x v="0"/>
    <x v="0"/>
    <x v="0"/>
    <x v="0"/>
    <s v="Creación de Categoría de Compra"/>
    <m/>
    <x v="7"/>
    <x v="5"/>
    <n v="5"/>
    <s v="Luis Ramírez"/>
    <m/>
    <m/>
    <x v="0"/>
    <x v="0"/>
    <s v="SATISFACTORIO"/>
    <m/>
    <m/>
    <s v="Creación de roles de seguridad._x000a_Señalización de campos a llenar."/>
  </r>
  <r>
    <n v="12"/>
    <m/>
    <m/>
    <x v="5"/>
    <x v="0"/>
    <x v="0"/>
    <x v="0"/>
    <x v="0"/>
    <x v="0"/>
    <s v="Lista de Precios"/>
    <m/>
    <x v="7"/>
    <x v="5"/>
    <n v="20"/>
    <s v="Luis Ramírez"/>
    <m/>
    <m/>
    <x v="0"/>
    <x v="0"/>
    <s v="SATISFACTORIO"/>
    <m/>
    <s v="Actualizar el layout de listas de precios."/>
    <m/>
  </r>
  <r>
    <n v="13"/>
    <m/>
    <m/>
    <x v="5"/>
    <x v="0"/>
    <x v="0"/>
    <x v="0"/>
    <x v="0"/>
    <x v="0"/>
    <s v="Requisición PO Asociadas Proyectos (Solicitud Compra)"/>
    <m/>
    <x v="7"/>
    <x v="5"/>
    <n v="15"/>
    <s v="Luis Ramírez"/>
    <m/>
    <m/>
    <x v="0"/>
    <x v="0"/>
    <s v="SATISFACTORIO"/>
    <m/>
    <m/>
    <s v="Se requiere poder adjuntar una imagen al correo de aprobación._x000a_Solicitud fecha requeridad_x000a_Filtrar por descripción larga."/>
  </r>
  <r>
    <n v="14"/>
    <m/>
    <m/>
    <x v="0"/>
    <x v="0"/>
    <x v="0"/>
    <x v="0"/>
    <x v="0"/>
    <x v="0"/>
    <s v="Alta de cuentas"/>
    <s v="Alta de cuentas contables con dimensiones y sin dimensiones(con o sin modulo). Asociacion en contabilidad Electronica)"/>
    <x v="0"/>
    <x v="0"/>
    <n v="15"/>
    <s v="Christian Aguila"/>
    <m/>
    <m/>
    <x v="0"/>
    <x v="0"/>
    <s v="SATISFACTORIO"/>
    <m/>
    <m/>
    <m/>
  </r>
  <r>
    <n v="15"/>
    <m/>
    <m/>
    <x v="5"/>
    <x v="0"/>
    <x v="0"/>
    <x v="0"/>
    <x v="0"/>
    <x v="0"/>
    <s v="Requisición PO Diesel (Solicitud Compra)"/>
    <m/>
    <x v="7"/>
    <x v="5"/>
    <n v="15"/>
    <s v="Luis Ramírez"/>
    <m/>
    <m/>
    <x v="0"/>
    <x v="0"/>
    <s v="SATISFACTORIO"/>
    <m/>
    <m/>
    <m/>
  </r>
  <r>
    <n v="16"/>
    <m/>
    <m/>
    <x v="5"/>
    <x v="0"/>
    <x v="0"/>
    <x v="0"/>
    <x v="0"/>
    <x v="0"/>
    <s v="Requisición PO Activo Fijo (Solicitud Compra)"/>
    <m/>
    <x v="7"/>
    <x v="5"/>
    <n v="15"/>
    <s v="Luis Ramírez"/>
    <m/>
    <m/>
    <x v="0"/>
    <x v="0"/>
    <s v="SATISFACTORIO"/>
    <m/>
    <s v="Crear lista de artículos relacionados a activos fijos._x000a_Configurar productos y grupos de artículos."/>
    <m/>
  </r>
  <r>
    <n v="17"/>
    <m/>
    <m/>
    <x v="5"/>
    <x v="0"/>
    <x v="0"/>
    <x v="0"/>
    <x v="0"/>
    <x v="0"/>
    <s v="Cotización"/>
    <m/>
    <x v="7"/>
    <x v="5"/>
    <n v="30"/>
    <s v="Luis Ramírez"/>
    <m/>
    <m/>
    <x v="1"/>
    <x v="2"/>
    <m/>
    <m/>
    <m/>
    <m/>
  </r>
  <r>
    <n v="18"/>
    <m/>
    <m/>
    <x v="6"/>
    <x v="0"/>
    <x v="0"/>
    <x v="0"/>
    <x v="0"/>
    <x v="0"/>
    <s v="Aprobación Requerida Matriz"/>
    <m/>
    <x v="8"/>
    <x v="6"/>
    <n v="10"/>
    <s v="Luis Ramírez"/>
    <m/>
    <m/>
    <x v="2"/>
    <x v="3"/>
    <m/>
    <s v="Opex"/>
    <s v="Se requiere definir usuarios aprobadores"/>
    <s v="Poder ver en el correo de aprobación la imagen adjunta."/>
  </r>
  <r>
    <n v="19"/>
    <m/>
    <m/>
    <x v="6"/>
    <x v="0"/>
    <x v="0"/>
    <x v="0"/>
    <x v="0"/>
    <x v="0"/>
    <s v="Rechazo Requerida Matriz"/>
    <m/>
    <x v="8"/>
    <x v="6"/>
    <n v="10"/>
    <s v="Luis Ramírez"/>
    <m/>
    <m/>
    <x v="2"/>
    <x v="3"/>
    <m/>
    <s v="Opex"/>
    <s v="Se requiere definir usuarios aprobadores"/>
    <m/>
  </r>
  <r>
    <n v="20"/>
    <m/>
    <m/>
    <x v="6"/>
    <x v="0"/>
    <x v="0"/>
    <x v="0"/>
    <x v="0"/>
    <x v="0"/>
    <s v="Delegación Aprobación Requeridad Matriz"/>
    <m/>
    <x v="8"/>
    <x v="6"/>
    <n v="10"/>
    <s v="Luis Ramírez"/>
    <m/>
    <m/>
    <x v="2"/>
    <x v="3"/>
    <m/>
    <s v="Opex"/>
    <s v="Se requiere definir usuarios aprobadores"/>
    <m/>
  </r>
  <r>
    <n v="21"/>
    <m/>
    <m/>
    <x v="6"/>
    <x v="0"/>
    <x v="0"/>
    <x v="0"/>
    <x v="0"/>
    <x v="0"/>
    <s v="Solicitud de Cambio Requerida Matriz"/>
    <s v="Recuperar solicitud de compra"/>
    <x v="7"/>
    <x v="5"/>
    <n v="25"/>
    <s v="Luis Ramírez"/>
    <m/>
    <m/>
    <x v="0"/>
    <x v="0"/>
    <s v="SATISFACTORIO"/>
    <m/>
    <m/>
    <m/>
  </r>
  <r>
    <n v="22"/>
    <m/>
    <m/>
    <x v="5"/>
    <x v="0"/>
    <x v="0"/>
    <x v="0"/>
    <x v="0"/>
    <x v="0"/>
    <s v="Creación PO Aprobada Asociada Proy"/>
    <s v="con proyecto asociado"/>
    <x v="7"/>
    <x v="5"/>
    <n v="5"/>
    <s v="Luis Ramírez"/>
    <m/>
    <m/>
    <x v="0"/>
    <x v="0"/>
    <s v="SATISFACTORIO"/>
    <m/>
    <m/>
    <m/>
  </r>
  <r>
    <n v="23"/>
    <m/>
    <m/>
    <x v="5"/>
    <x v="0"/>
    <x v="0"/>
    <x v="0"/>
    <x v="0"/>
    <x v="0"/>
    <s v="Modificación de proyecto asociado a una PO Aprobada sin GR"/>
    <s v="con proyecto asociado"/>
    <x v="7"/>
    <x v="5"/>
    <n v="10"/>
    <s v="Luis Ramírez"/>
    <m/>
    <m/>
    <x v="0"/>
    <x v="0"/>
    <s v="SATISFACTORIO"/>
    <m/>
    <m/>
    <m/>
  </r>
  <r>
    <n v="24"/>
    <m/>
    <m/>
    <x v="5"/>
    <x v="0"/>
    <x v="0"/>
    <x v="0"/>
    <x v="0"/>
    <x v="0"/>
    <s v="Modificación de proyecto asociado a una PO Aprobada con GR"/>
    <s v="con proyecto asociado"/>
    <x v="7"/>
    <x v="5"/>
    <n v="10"/>
    <s v="Luis Ramírez"/>
    <m/>
    <m/>
    <x v="0"/>
    <x v="0"/>
    <s v="SATISFACTORIO"/>
    <m/>
    <m/>
    <m/>
  </r>
  <r>
    <n v="25"/>
    <m/>
    <m/>
    <x v="5"/>
    <x v="0"/>
    <x v="0"/>
    <x v="0"/>
    <x v="0"/>
    <x v="0"/>
    <s v="Modificación de Moneda a una PO Aprobada asociada a un proyecto"/>
    <s v="con proyecto asociado"/>
    <x v="7"/>
    <x v="5"/>
    <n v="10"/>
    <s v="Luis Ramírez"/>
    <m/>
    <m/>
    <x v="0"/>
    <x v="0"/>
    <s v="SATISFACTORIO"/>
    <m/>
    <m/>
    <s v="Funcionalidad para conservar el precio unitario y solo cambiar la moneda."/>
  </r>
  <r>
    <n v="26"/>
    <m/>
    <m/>
    <x v="7"/>
    <x v="0"/>
    <x v="0"/>
    <x v="0"/>
    <x v="0"/>
    <x v="0"/>
    <s v="Solicitud de Cambio Requerida Matriz"/>
    <s v="Recuperar solicitud de compra"/>
    <x v="8"/>
    <x v="6"/>
    <n v="25"/>
    <s v="Luis Ramírez"/>
    <m/>
    <m/>
    <x v="0"/>
    <x v="0"/>
    <s v="SATISFACTORIO"/>
    <m/>
    <m/>
    <m/>
  </r>
  <r>
    <n v="27"/>
    <m/>
    <m/>
    <x v="5"/>
    <x v="0"/>
    <x v="0"/>
    <x v="0"/>
    <x v="0"/>
    <x v="0"/>
    <s v="Creación PO Aprobada"/>
    <s v="sin proyecto asociado "/>
    <x v="7"/>
    <x v="5"/>
    <n v="5"/>
    <s v="Luis Ramírez"/>
    <m/>
    <m/>
    <x v="0"/>
    <x v="0"/>
    <s v="SATISFACTORIO"/>
    <m/>
    <m/>
    <m/>
  </r>
  <r>
    <n v="28"/>
    <m/>
    <m/>
    <x v="5"/>
    <x v="0"/>
    <x v="0"/>
    <x v="0"/>
    <x v="0"/>
    <x v="0"/>
    <s v="Modificación de Moneda a una PO Aprobada"/>
    <s v="sin proyecto asociado "/>
    <x v="7"/>
    <x v="5"/>
    <n v="10"/>
    <s v="Luis Ramírez"/>
    <m/>
    <m/>
    <x v="0"/>
    <x v="0"/>
    <s v="SATISFACTORIO"/>
    <m/>
    <m/>
    <s v="Funcionalidad para conservar el precio unitario y solo cambiar la moneda."/>
  </r>
  <r>
    <n v="29"/>
    <m/>
    <m/>
    <x v="5"/>
    <x v="0"/>
    <x v="0"/>
    <x v="0"/>
    <x v="0"/>
    <x v="0"/>
    <s v="Modificación de Volumen a una PO Aprobada"/>
    <s v="sin proyecto asociado "/>
    <x v="7"/>
    <x v="5"/>
    <n v="10"/>
    <s v="Luis Ramírez"/>
    <m/>
    <m/>
    <x v="0"/>
    <x v="0"/>
    <s v="SATISFACTORIO"/>
    <m/>
    <m/>
    <m/>
  </r>
  <r>
    <n v="30"/>
    <m/>
    <m/>
    <x v="7"/>
    <x v="0"/>
    <x v="0"/>
    <x v="0"/>
    <x v="0"/>
    <x v="0"/>
    <s v="Matriz de aprobación"/>
    <m/>
    <x v="8"/>
    <x v="6"/>
    <n v="10"/>
    <s v="Luis Ramírez"/>
    <m/>
    <m/>
    <x v="2"/>
    <x v="3"/>
    <m/>
    <s v="Opex"/>
    <s v="Se requiere definir usuarios aprobadores"/>
    <m/>
  </r>
  <r>
    <n v="31"/>
    <m/>
    <m/>
    <x v="5"/>
    <x v="0"/>
    <x v="0"/>
    <x v="0"/>
    <x v="0"/>
    <x v="0"/>
    <s v="Creación OC Directa (sin cotización) Asociada o no a Proyecto"/>
    <m/>
    <x v="7"/>
    <x v="5"/>
    <n v="15"/>
    <s v="Luis Ramírez"/>
    <m/>
    <m/>
    <x v="0"/>
    <x v="0"/>
    <s v="SATISFACTORIO"/>
    <m/>
    <m/>
    <m/>
  </r>
  <r>
    <n v="32"/>
    <m/>
    <m/>
    <x v="5"/>
    <x v="0"/>
    <x v="0"/>
    <x v="0"/>
    <x v="0"/>
    <x v="0"/>
    <s v="Creación OC Directa (sin cotización) Activo Fijo"/>
    <m/>
    <x v="7"/>
    <x v="5"/>
    <n v="15"/>
    <s v="Luis Ramírez"/>
    <m/>
    <m/>
    <x v="0"/>
    <x v="0"/>
    <s v="SATISFACTORIO"/>
    <m/>
    <s v="Realizar configuraciones en el sistema para crear órdenes de compra por activos fijos."/>
    <m/>
  </r>
  <r>
    <n v="33"/>
    <m/>
    <m/>
    <x v="7"/>
    <x v="0"/>
    <x v="0"/>
    <x v="0"/>
    <x v="0"/>
    <x v="0"/>
    <s v="Aprobación Requerida Matriz"/>
    <m/>
    <x v="8"/>
    <x v="6"/>
    <n v="10"/>
    <s v="Luis Ramírez"/>
    <m/>
    <m/>
    <x v="2"/>
    <x v="3"/>
    <m/>
    <s v="Opex"/>
    <s v="Se requiere definir usuarios aprobadores"/>
    <m/>
  </r>
  <r>
    <n v="34"/>
    <m/>
    <m/>
    <x v="7"/>
    <x v="0"/>
    <x v="0"/>
    <x v="0"/>
    <x v="0"/>
    <x v="0"/>
    <s v="Rechazo Requerida Matriz"/>
    <m/>
    <x v="8"/>
    <x v="6"/>
    <n v="10"/>
    <s v="Luis Ramírez"/>
    <m/>
    <m/>
    <x v="2"/>
    <x v="3"/>
    <m/>
    <s v="Opex"/>
    <s v="Se requiere definir usuarios aprobadores"/>
    <m/>
  </r>
  <r>
    <n v="35"/>
    <m/>
    <m/>
    <x v="7"/>
    <x v="0"/>
    <x v="0"/>
    <x v="0"/>
    <x v="0"/>
    <x v="0"/>
    <s v="Delegación Aprobación Requerida Matriz"/>
    <m/>
    <x v="8"/>
    <x v="6"/>
    <n v="10"/>
    <s v="Luis Ramírez"/>
    <m/>
    <m/>
    <x v="2"/>
    <x v="3"/>
    <m/>
    <s v="Opex"/>
    <s v="Se requiere definir usuarios aprobadores"/>
    <m/>
  </r>
  <r>
    <n v="36"/>
    <m/>
    <m/>
    <x v="7"/>
    <x v="0"/>
    <x v="0"/>
    <x v="0"/>
    <x v="0"/>
    <x v="0"/>
    <s v="Solicitud de Cambio Requerida Matriz"/>
    <s v="Recuperar Solicitud de Orden de compra"/>
    <x v="8"/>
    <x v="6"/>
    <n v="10"/>
    <s v="Luis Ramírez"/>
    <m/>
    <m/>
    <x v="0"/>
    <x v="0"/>
    <s v="SATISFACTORIO"/>
    <m/>
    <m/>
    <m/>
  </r>
  <r>
    <n v="37"/>
    <m/>
    <m/>
    <x v="3"/>
    <x v="0"/>
    <x v="0"/>
    <x v="0"/>
    <x v="0"/>
    <x v="0"/>
    <s v="Consulta de PO"/>
    <s v="Consulta de PO cargada a proyecto"/>
    <x v="4"/>
    <x v="3"/>
    <n v="15"/>
    <s v="Christian Aguila"/>
    <m/>
    <m/>
    <x v="0"/>
    <x v="0"/>
    <s v="SATISFACTORIO"/>
    <m/>
    <m/>
    <m/>
  </r>
  <r>
    <n v="38"/>
    <m/>
    <m/>
    <x v="3"/>
    <x v="0"/>
    <x v="0"/>
    <x v="0"/>
    <x v="0"/>
    <x v="0"/>
    <s v="Consulta de PO Final Ajustada"/>
    <s v="Consulta de PO Final ajustada a volumetria final"/>
    <x v="4"/>
    <x v="3"/>
    <n v="15"/>
    <s v="Christian Aguila"/>
    <m/>
    <m/>
    <x v="0"/>
    <x v="0"/>
    <s v="SATISFACTORIO"/>
    <m/>
    <m/>
    <m/>
  </r>
  <r>
    <n v="39"/>
    <m/>
    <m/>
    <x v="5"/>
    <x v="0"/>
    <x v="0"/>
    <x v="0"/>
    <x v="0"/>
    <x v="0"/>
    <s v="Generación de Recepción PO GR Materiales Servicios sin Die y sin Tub"/>
    <m/>
    <x v="7"/>
    <x v="5"/>
    <n v="10"/>
    <s v="Luis Ramírez"/>
    <m/>
    <m/>
    <x v="0"/>
    <x v="0"/>
    <s v="SATISFACTORIO"/>
    <m/>
    <m/>
    <s v="Generar consecutivo de número de recepción."/>
  </r>
  <r>
    <n v="40"/>
    <m/>
    <m/>
    <x v="5"/>
    <x v="0"/>
    <x v="0"/>
    <x v="0"/>
    <x v="0"/>
    <x v="0"/>
    <s v="Generación de Recepción PO GR Diesel"/>
    <m/>
    <x v="9"/>
    <x v="7"/>
    <n v="10"/>
    <s v="Luis Ramírez"/>
    <m/>
    <m/>
    <x v="0"/>
    <x v="0"/>
    <s v="SATISFACTORIO"/>
    <m/>
    <m/>
    <m/>
  </r>
  <r>
    <n v="41"/>
    <m/>
    <m/>
    <x v="5"/>
    <x v="0"/>
    <x v="0"/>
    <x v="0"/>
    <x v="0"/>
    <x v="0"/>
    <s v="Generación de Recepción PO GR Tub"/>
    <m/>
    <x v="9"/>
    <x v="8"/>
    <n v="10"/>
    <s v="Luis Ramírez"/>
    <m/>
    <m/>
    <x v="0"/>
    <x v="0"/>
    <m/>
    <m/>
    <m/>
    <m/>
  </r>
  <r>
    <n v="42"/>
    <m/>
    <m/>
    <x v="5"/>
    <x v="0"/>
    <x v="0"/>
    <x v="0"/>
    <x v="0"/>
    <x v="0"/>
    <s v="Reversa GR Parcial o Total Materiales Servicios sin Die y sin Tub"/>
    <m/>
    <x v="7"/>
    <x v="5"/>
    <n v="10"/>
    <s v="Luis Ramírez"/>
    <m/>
    <m/>
    <x v="0"/>
    <x v="0"/>
    <s v="SATISFACTORIO"/>
    <m/>
    <m/>
    <m/>
  </r>
  <r>
    <n v="43"/>
    <m/>
    <m/>
    <x v="5"/>
    <x v="0"/>
    <x v="0"/>
    <x v="0"/>
    <x v="0"/>
    <x v="0"/>
    <s v="Reversa GR Parcial o Total Diesel"/>
    <m/>
    <x v="9"/>
    <x v="7"/>
    <n v="10"/>
    <s v="Luis Ramírez"/>
    <m/>
    <m/>
    <x v="0"/>
    <x v="0"/>
    <s v="SATISFACTORIO"/>
    <m/>
    <m/>
    <m/>
  </r>
  <r>
    <n v="44"/>
    <m/>
    <m/>
    <x v="5"/>
    <x v="0"/>
    <x v="0"/>
    <x v="0"/>
    <x v="0"/>
    <x v="0"/>
    <s v="Reversa GR Parcial o Total Tub"/>
    <m/>
    <x v="9"/>
    <x v="8"/>
    <n v="10"/>
    <s v="Luis Ramírez"/>
    <m/>
    <m/>
    <x v="0"/>
    <x v="0"/>
    <m/>
    <m/>
    <m/>
    <m/>
  </r>
  <r>
    <n v="45"/>
    <m/>
    <m/>
    <x v="5"/>
    <x v="0"/>
    <x v="0"/>
    <x v="0"/>
    <x v="0"/>
    <x v="0"/>
    <s v="Generación de Recepción PO GR Materiales Servicios sin Die y sin Tub Correcto"/>
    <m/>
    <x v="7"/>
    <x v="5"/>
    <n v="10"/>
    <s v="Luis Ramírez"/>
    <m/>
    <m/>
    <x v="0"/>
    <x v="0"/>
    <s v="SATISFACTORIO"/>
    <m/>
    <m/>
    <s v="Generar consecutivo de número de recepción."/>
  </r>
  <r>
    <n v="46"/>
    <m/>
    <m/>
    <x v="5"/>
    <x v="0"/>
    <x v="0"/>
    <x v="0"/>
    <x v="0"/>
    <x v="0"/>
    <s v="Generación de Recepción PO GR Diesel Correcto"/>
    <m/>
    <x v="9"/>
    <x v="7"/>
    <n v="10"/>
    <s v="Luis Ramírez"/>
    <m/>
    <m/>
    <x v="0"/>
    <x v="0"/>
    <s v="SATISFACTORIO"/>
    <m/>
    <m/>
    <m/>
  </r>
  <r>
    <n v="47"/>
    <m/>
    <m/>
    <x v="5"/>
    <x v="0"/>
    <x v="0"/>
    <x v="0"/>
    <x v="0"/>
    <x v="0"/>
    <s v="Generación de Recepción PO GR Tub Correcto"/>
    <m/>
    <x v="9"/>
    <x v="8"/>
    <n v="10"/>
    <s v="Luis Ramírez"/>
    <m/>
    <m/>
    <x v="0"/>
    <x v="0"/>
    <m/>
    <m/>
    <m/>
    <m/>
  </r>
  <r>
    <n v="48"/>
    <m/>
    <m/>
    <x v="8"/>
    <x v="0"/>
    <x v="0"/>
    <x v="0"/>
    <x v="0"/>
    <x v="0"/>
    <s v="Ingresos Tubos proporcionados por PEMEX (Ajuste Inventario Descuento en Factura)"/>
    <m/>
    <x v="10"/>
    <x v="9"/>
    <n v="20"/>
    <s v="Luis Ramírez"/>
    <m/>
    <m/>
    <x v="2"/>
    <x v="3"/>
    <m/>
    <s v="GCG"/>
    <s v="Se debe revisar la estructura contable, ya que el sistema manda error de dimensiones financieras al querer registrar un diario de proyecto"/>
    <m/>
  </r>
  <r>
    <n v="49"/>
    <m/>
    <m/>
    <x v="3"/>
    <x v="0"/>
    <x v="0"/>
    <x v="0"/>
    <x v="0"/>
    <x v="0"/>
    <s v="Diario de Proyectos Consumo Diesel"/>
    <m/>
    <x v="9"/>
    <x v="7"/>
    <n v="15"/>
    <s v="Luis Ramírez"/>
    <m/>
    <m/>
    <x v="0"/>
    <x v="0"/>
    <s v="SATISFACTORIO"/>
    <m/>
    <m/>
    <m/>
  </r>
  <r>
    <n v="50"/>
    <m/>
    <m/>
    <x v="3"/>
    <x v="0"/>
    <x v="0"/>
    <x v="0"/>
    <x v="0"/>
    <x v="0"/>
    <s v="Diario de Proyectos Consumo Tub PEMEX"/>
    <m/>
    <x v="9"/>
    <x v="8"/>
    <m/>
    <s v="Luis Ramírez"/>
    <m/>
    <m/>
    <x v="2"/>
    <x v="3"/>
    <m/>
    <s v="GCG"/>
    <s v="No estaba inicialmente contemplado"/>
    <m/>
  </r>
  <r>
    <n v="51"/>
    <m/>
    <m/>
    <x v="3"/>
    <x v="0"/>
    <x v="0"/>
    <x v="0"/>
    <x v="0"/>
    <x v="0"/>
    <s v="Diario de Proyectos Ajuste Sobrante Tub"/>
    <m/>
    <x v="9"/>
    <x v="8"/>
    <m/>
    <s v="Luis Ramírez"/>
    <m/>
    <m/>
    <x v="2"/>
    <x v="3"/>
    <m/>
    <s v="GCG"/>
    <s v="No estaba inicialmente contemplado"/>
    <m/>
  </r>
  <r>
    <n v="52"/>
    <m/>
    <m/>
    <x v="5"/>
    <x v="0"/>
    <x v="0"/>
    <x v="0"/>
    <x v="0"/>
    <x v="0"/>
    <s v="Creación OC Negativa Directa (Orden Devolución NC) No asociada a proyecto"/>
    <m/>
    <x v="7"/>
    <x v="5"/>
    <n v="20"/>
    <s v="Luis Ramírez"/>
    <m/>
    <m/>
    <x v="2"/>
    <x v="1"/>
    <m/>
    <s v="Opex"/>
    <m/>
    <m/>
  </r>
  <r>
    <n v="53"/>
    <m/>
    <m/>
    <x v="7"/>
    <x v="0"/>
    <x v="0"/>
    <x v="0"/>
    <x v="0"/>
    <x v="0"/>
    <s v="Aprobación Requerida Matriz"/>
    <m/>
    <x v="8"/>
    <x v="6"/>
    <n v="5"/>
    <s v="Luis Ramírez"/>
    <m/>
    <m/>
    <x v="2"/>
    <x v="3"/>
    <m/>
    <s v="Opex"/>
    <s v="Se requiere definir usuarios aprobadores"/>
    <m/>
  </r>
  <r>
    <n v="54"/>
    <m/>
    <m/>
    <x v="7"/>
    <x v="0"/>
    <x v="0"/>
    <x v="0"/>
    <x v="0"/>
    <x v="0"/>
    <s v="Rechazo Requeridad Matriz"/>
    <m/>
    <x v="8"/>
    <x v="6"/>
    <n v="5"/>
    <s v="Luis Ramírez"/>
    <m/>
    <m/>
    <x v="2"/>
    <x v="3"/>
    <m/>
    <s v="Opex"/>
    <s v="Se requiere definir usuarios aprobadores"/>
    <m/>
  </r>
  <r>
    <n v="55"/>
    <m/>
    <m/>
    <x v="7"/>
    <x v="0"/>
    <x v="0"/>
    <x v="0"/>
    <x v="0"/>
    <x v="0"/>
    <s v="Delegación Aprobación Requeridad Matriz"/>
    <m/>
    <x v="8"/>
    <x v="6"/>
    <n v="5"/>
    <s v="Luis Ramírez"/>
    <m/>
    <m/>
    <x v="2"/>
    <x v="3"/>
    <m/>
    <s v="Opex"/>
    <s v="Se requiere definir usuarios aprobadores"/>
    <m/>
  </r>
  <r>
    <n v="56"/>
    <m/>
    <m/>
    <x v="7"/>
    <x v="0"/>
    <x v="0"/>
    <x v="0"/>
    <x v="0"/>
    <x v="0"/>
    <s v="Solicitud de Cambio Requeridad Matriz"/>
    <s v="Recuperar Orde de Vuelta"/>
    <x v="8"/>
    <x v="6"/>
    <n v="5"/>
    <s v="Luis Ramírez"/>
    <m/>
    <m/>
    <x v="2"/>
    <x v="3"/>
    <m/>
    <s v="Opex"/>
    <s v="Se requiere definir usuarios aprobadores"/>
    <m/>
  </r>
  <r>
    <n v="57"/>
    <m/>
    <m/>
    <x v="8"/>
    <x v="0"/>
    <x v="0"/>
    <x v="0"/>
    <x v="0"/>
    <x v="0"/>
    <s v="Traspasos Diesel almacenes (Botes y Plataformas)"/>
    <m/>
    <x v="9"/>
    <x v="7"/>
    <n v="20"/>
    <s v="Luis Ramírez"/>
    <m/>
    <m/>
    <x v="0"/>
    <x v="0"/>
    <s v="SATISFACTORIO"/>
    <m/>
    <m/>
    <m/>
  </r>
  <r>
    <n v="58"/>
    <m/>
    <m/>
    <x v="8"/>
    <x v="0"/>
    <x v="0"/>
    <x v="0"/>
    <x v="0"/>
    <x v="0"/>
    <s v="Traspasos de Diesles de almacenes de OPEX A AKAL"/>
    <m/>
    <x v="9"/>
    <x v="7"/>
    <m/>
    <s v="Luis Ramírez"/>
    <m/>
    <m/>
    <x v="0"/>
    <x v="0"/>
    <s v="SATISFACTORIO"/>
    <m/>
    <m/>
    <m/>
  </r>
  <r>
    <n v="59"/>
    <m/>
    <m/>
    <x v="8"/>
    <x v="0"/>
    <x v="0"/>
    <x v="0"/>
    <x v="0"/>
    <x v="0"/>
    <s v="Traspasos Tubos almacenes (Localidades Patio)"/>
    <m/>
    <x v="9"/>
    <x v="8"/>
    <m/>
    <s v="Luis Ramírez"/>
    <m/>
    <m/>
    <x v="3"/>
    <x v="1"/>
    <m/>
    <m/>
    <m/>
    <m/>
  </r>
  <r>
    <n v="60"/>
    <m/>
    <m/>
    <x v="9"/>
    <x v="0"/>
    <x v="0"/>
    <x v="0"/>
    <x v="0"/>
    <x v="0"/>
    <s v="OV Interco Diesel (Mostrar la ruta desde donde se tendría la operación)"/>
    <s v="Diario de movimiento mientras no haya Intercompañía"/>
    <x v="11"/>
    <x v="6"/>
    <n v="15"/>
    <s v="Luis Ramírez"/>
    <m/>
    <m/>
    <x v="3"/>
    <x v="1"/>
    <m/>
    <m/>
    <m/>
    <m/>
  </r>
  <r>
    <n v="61"/>
    <m/>
    <m/>
    <x v="9"/>
    <x v="0"/>
    <x v="0"/>
    <x v="0"/>
    <x v="0"/>
    <x v="0"/>
    <s v="OV Interco Tubos (Mostrar la ruta desde donde se tendría la operación)"/>
    <s v="Diario de movimiento mientras no haya Intercompañía"/>
    <x v="12"/>
    <x v="6"/>
    <n v="15"/>
    <s v="Luis Ramírez"/>
    <m/>
    <m/>
    <x v="3"/>
    <x v="1"/>
    <m/>
    <m/>
    <m/>
    <m/>
  </r>
  <r>
    <n v="62"/>
    <m/>
    <m/>
    <x v="8"/>
    <x v="0"/>
    <x v="0"/>
    <x v="0"/>
    <x v="0"/>
    <x v="0"/>
    <s v="Consultas Diesel (Transacciones de Inventario y Disponible)"/>
    <m/>
    <x v="9"/>
    <x v="7"/>
    <n v="20"/>
    <s v="Luis Ramírez"/>
    <m/>
    <m/>
    <x v="0"/>
    <x v="0"/>
    <s v="SATISFACTORIO"/>
    <m/>
    <m/>
    <m/>
  </r>
  <r>
    <n v="63"/>
    <m/>
    <m/>
    <x v="8"/>
    <x v="0"/>
    <x v="0"/>
    <x v="0"/>
    <x v="0"/>
    <x v="0"/>
    <s v="Consultas Tubos (Transacciones de Inventario y Disponible)"/>
    <m/>
    <x v="9"/>
    <x v="8"/>
    <m/>
    <s v="Luis Ramírez"/>
    <m/>
    <m/>
    <x v="3"/>
    <x v="1"/>
    <m/>
    <m/>
    <m/>
    <m/>
  </r>
  <r>
    <n v="64"/>
    <m/>
    <m/>
    <x v="3"/>
    <x v="0"/>
    <x v="0"/>
    <x v="0"/>
    <x v="0"/>
    <x v="0"/>
    <s v="Consulta de PO"/>
    <s v="Consulta de PO cargada a proyecto"/>
    <x v="4"/>
    <x v="3"/>
    <n v="10"/>
    <s v="Christian Aguila"/>
    <m/>
    <m/>
    <x v="0"/>
    <x v="0"/>
    <s v="SATISFACTORIO"/>
    <m/>
    <m/>
    <m/>
  </r>
  <r>
    <n v="65"/>
    <m/>
    <m/>
    <x v="3"/>
    <x v="0"/>
    <x v="0"/>
    <x v="0"/>
    <x v="0"/>
    <x v="0"/>
    <s v="Consulta de PO Final Ajustada"/>
    <s v="Consulta de PO Final ajustada a volumetria final"/>
    <x v="4"/>
    <x v="3"/>
    <n v="10"/>
    <s v="Christian Aguila"/>
    <m/>
    <m/>
    <x v="0"/>
    <x v="0"/>
    <s v="SATISFACTORIO"/>
    <m/>
    <m/>
    <m/>
  </r>
  <r>
    <n v="66"/>
    <m/>
    <m/>
    <x v="3"/>
    <x v="0"/>
    <x v="0"/>
    <x v="0"/>
    <x v="0"/>
    <x v="0"/>
    <s v="Consulta de Recepcion de PO"/>
    <s v="Asiento Contable e impacto en Proyecto"/>
    <x v="4"/>
    <x v="3"/>
    <n v="10"/>
    <s v="Christian Aguila"/>
    <m/>
    <m/>
    <x v="0"/>
    <x v="0"/>
    <s v="SATISFACTORIO"/>
    <m/>
    <m/>
    <m/>
  </r>
  <r>
    <n v="67"/>
    <m/>
    <m/>
    <x v="3"/>
    <x v="0"/>
    <x v="0"/>
    <x v="0"/>
    <x v="0"/>
    <x v="0"/>
    <s v="Cierre y/o Cancelacion de PO"/>
    <s v="Revision de PO Cerrada sin opcion a Edicion de Estatus"/>
    <x v="4"/>
    <x v="3"/>
    <n v="10"/>
    <s v="Christian Aguila"/>
    <m/>
    <m/>
    <x v="0"/>
    <x v="0"/>
    <s v="SATISFACTORIO"/>
    <m/>
    <m/>
    <m/>
  </r>
  <r>
    <n v="68"/>
    <m/>
    <m/>
    <x v="3"/>
    <x v="0"/>
    <x v="0"/>
    <x v="0"/>
    <x v="0"/>
    <x v="0"/>
    <s v="Reporte de PO's"/>
    <s v="Vista y descarga de Reporte de PO's"/>
    <x v="4"/>
    <x v="3"/>
    <n v="20"/>
    <s v="Christian Aguila"/>
    <m/>
    <m/>
    <x v="0"/>
    <x v="0"/>
    <s v="SATISFACTORIO"/>
    <m/>
    <m/>
    <s v="Se requieren adecuaciones al archivo para cubrir la información_x000a_Agregar columna de descuento_x000a_Mover columna de Nombre Proveedor al final_x000a_Concatenar la Descripción del para el Diario (Orden de Compra - Nombre del Proveedor - Proyecto - Línea)_x000a_Agregar Columna con lógica para moneda_x000a_Agregar Conversión a USD_x000a_Redondear el Monto Pendiente a 2 decimales_x000a_Disminuir columnas en la data"/>
  </r>
  <r>
    <n v="69"/>
    <m/>
    <m/>
    <x v="3"/>
    <x v="0"/>
    <x v="0"/>
    <x v="0"/>
    <x v="0"/>
    <x v="0"/>
    <s v="Aprobacion de Facturas sin PO"/>
    <s v="Aprobacion de Facturas sin PO (PERFOMEX &amp; LOMO)"/>
    <x v="4"/>
    <x v="3"/>
    <m/>
    <s v="Christian Aguila"/>
    <m/>
    <m/>
    <x v="1"/>
    <x v="2"/>
    <m/>
    <m/>
    <m/>
    <s v="El proceso se dará mediante Orden de Compra o mediante Diario Facturas para D365"/>
  </r>
  <r>
    <n v="70"/>
    <m/>
    <m/>
    <x v="3"/>
    <x v="0"/>
    <x v="0"/>
    <x v="0"/>
    <x v="0"/>
    <x v="0"/>
    <s v="Pendientes de Aprobacion"/>
    <s v="Consulta de pendientes de aprobacion (Facturas, PO's) (Reporte de Estatus PO Cargas Masivas)"/>
    <x v="4"/>
    <x v="3"/>
    <n v="10"/>
    <s v="Christian Aguila"/>
    <m/>
    <m/>
    <x v="0"/>
    <x v="0"/>
    <s v="SATISFACTORIO"/>
    <m/>
    <m/>
    <s v="Se requieren adecuaciones al archivo para cubrir la información_x000a_Agregar columna de descuento_x000a_Mover columna de Nombre Proveedor al final_x000a_Concatenar la Descripción del para el Diario (Orden de Compra - Nombre del Proveedor - Proyecto - Línea)_x000a_Agregar Columna con lógica para moneda_x000a_Agregar Conversión a USD_x000a_Redondear el Monto Pendiente a 2 decimales_x000a_Disminuir columnas en la data"/>
  </r>
  <r>
    <n v="71"/>
    <m/>
    <m/>
    <x v="10"/>
    <x v="0"/>
    <x v="0"/>
    <x v="0"/>
    <x v="0"/>
    <x v="0"/>
    <s v="Anticipo mediante PO"/>
    <s v="Generación de Anticipo PO"/>
    <x v="13"/>
    <x v="10"/>
    <n v="15"/>
    <m/>
    <m/>
    <m/>
    <x v="0"/>
    <x v="0"/>
    <m/>
    <m/>
    <s v="Ya se entrego el proceso y paso a paso de Anticipo de OC en D365"/>
    <s v="Nos mandaran proceso de Anticipo en Dynamics para adecuacion a operación normal Opex, por temas de cuando no se tienen facturas, y se hizo anticipo de pago directo, si el hay desarrollo para que desde la orden de compra podamos meter posterior una factura. Entregado 8/feb/23"/>
  </r>
  <r>
    <n v="72"/>
    <m/>
    <m/>
    <x v="10"/>
    <x v="0"/>
    <x v="0"/>
    <x v="0"/>
    <x v="0"/>
    <x v="0"/>
    <s v="Carga Masiva Facturas"/>
    <s v="Desarrollo de Cargas Masivas de Facturas con OC / sin OC"/>
    <x v="13"/>
    <x v="10"/>
    <n v="30"/>
    <m/>
    <m/>
    <m/>
    <x v="2"/>
    <x v="4"/>
    <s v="Carga Facturas en Recepciones Canceladas"/>
    <s v="GCG"/>
    <s v="Revisar con Desarrollo que las Facturas que hagan Match con las recepciones no consideré las recepciones canceladas"/>
    <s v="Pendiente carga Masiva de DF_x000a_Validar la asociación de la Factura vs Recepciones de PO / Actualmente el Match es por Monto"/>
  </r>
  <r>
    <n v="73"/>
    <m/>
    <m/>
    <x v="10"/>
    <x v="0"/>
    <x v="0"/>
    <x v="0"/>
    <x v="0"/>
    <x v="0"/>
    <s v="Registro Factura con PO"/>
    <s v="Generación de Registro Factura para obtener el registro financiero en D365 / Poder enlazar con Recepcion / Validar impuestos en los casos que aplique retenciones / Notas de credito"/>
    <x v="13"/>
    <x v="10"/>
    <n v="10"/>
    <m/>
    <m/>
    <m/>
    <x v="2"/>
    <x v="4"/>
    <s v="Carga Facturas en Recepciones Canceladas"/>
    <s v="GCG"/>
    <s v="Revisar con Desarrollo que las Facturas que hagan Match con las recepciones no consideré las recepciones canceladas"/>
    <s v="En el caso de Audentis se requiere corregir la PO en función al total de decimales del precio del Diesel y del IEPS. Suppleo se genero por Carga Masiva sin embargo hubo error ya que una factura hizo Match con otra PO que tenia la misma cantidad en recepcion. Los proveedores de los que no hicimos prueba por falta de PO son: Baker, Carlos Alberto, Katia Gonzalez, Salos Sunesis, Servicios y Soluciones, Thelsa y Tamsa. Del proveedor Jesus Antonio Martinez ya se creo el alta. Se subio una factura de Dowell pero al momento de crear el registro marco el error de que la PO no estaba confirmada y es porque se modifico posteior a su creacion. Tuvimos dos casos en que la factura subio y aparantemente hizo match con una recepcion pero al revisar no habia nada, entonces hizo match con un recepcion pero que fue cancelada (Tamsa y Audentis). "/>
  </r>
  <r>
    <n v="74"/>
    <m/>
    <m/>
    <x v="10"/>
    <x v="0"/>
    <x v="0"/>
    <x v="0"/>
    <x v="0"/>
    <x v="0"/>
    <s v="Registro Factura sin PO"/>
    <s v="Generación de Registro Factura para obtener el registro financiero en D365 / Colocar desglose de cuenta contable y dimensiones para aprobacion y registro final / Validar impuestos en los casos que aplique retenciones / Notas de credito"/>
    <x v="13"/>
    <x v="10"/>
    <n v="5"/>
    <m/>
    <m/>
    <m/>
    <x v="0"/>
    <x v="0"/>
    <m/>
    <m/>
    <s v="Se revisaran definiciones para el validador con Fiscal (Andrés A.) para tener las reglas de negocio e información Fiscal de forma correcta predeterminada, para la validación en carga masiva_x000a_en tasa de Retención ejemplo versión 3.3 RET IVA 10.6666 %_x000a_Revisar con Andrés si se se va a crear una cuenta de Costo para Sueldos y salarios o el monto se trasladará por allocations"/>
    <s v="Se detectaron mas movimientos manuales a la hora de revisar los impuestos, y nos daran un documento para la combinacion de cuentas_x000a_Crear el valor TI o IT para la dimensión financiera Centro de Costos, tambien confirmar si se puede ver una vista preeliminar de la poliza antes de la aprobacion del registro, ya que hasta que se aprueba lo podemos ver"/>
  </r>
  <r>
    <n v="75"/>
    <m/>
    <m/>
    <x v="10"/>
    <x v="0"/>
    <x v="0"/>
    <x v="0"/>
    <x v="0"/>
    <x v="0"/>
    <s v="Proceso de Facturación Básicos"/>
    <s v="Generación Diarios Facturas (Facturas intereses, traspaso de gastos, refacturación)"/>
    <x v="13"/>
    <x v="10"/>
    <n v="10"/>
    <m/>
    <m/>
    <m/>
    <x v="0"/>
    <x v="0"/>
    <m/>
    <m/>
    <s v="Se revisaran definiciones para el validador con Fiscal (Andrés A.) para tener las reglas de negocio e información Fiscal de forma correcta predeterminada, para la validación en carga masiva_x000a_Validar tasa de Retención ejemplo de 3.3 RET IVA 10.6666 %_x000a_Revisar con Andrés si se se va a crear una cuenta de Costo para Sueldos y salarios o el monto se trasladará por allocations"/>
    <s v="Crear el valor TI o IT para la dimensión financiera Centro de Costos"/>
  </r>
  <r>
    <n v="76"/>
    <m/>
    <m/>
    <x v="10"/>
    <x v="0"/>
    <x v="0"/>
    <x v="0"/>
    <x v="0"/>
    <x v="0"/>
    <s v="Aprobación Diario"/>
    <s v="Aprobación de Diario para Registro"/>
    <x v="13"/>
    <x v="10"/>
    <n v="5"/>
    <m/>
    <m/>
    <m/>
    <x v="0"/>
    <x v="0"/>
    <m/>
    <m/>
    <m/>
    <s v="Aprobacion solo con facturas sin PO"/>
  </r>
  <r>
    <n v="77"/>
    <m/>
    <m/>
    <x v="10"/>
    <x v="0"/>
    <x v="0"/>
    <x v="0"/>
    <x v="0"/>
    <x v="0"/>
    <s v="Flujo de Trabajo"/>
    <s v="Autorización de Flujo de Trabajo (Matriz de Aprobación)"/>
    <x v="14"/>
    <x v="6"/>
    <n v="10"/>
    <m/>
    <m/>
    <m/>
    <x v="2"/>
    <x v="1"/>
    <m/>
    <s v="Opex"/>
    <s v="Pendiente definir flujos"/>
    <m/>
  </r>
  <r>
    <n v="104"/>
    <m/>
    <m/>
    <x v="0"/>
    <x v="0"/>
    <x v="0"/>
    <x v="0"/>
    <x v="0"/>
    <x v="0"/>
    <s v="Alta de activo fijo "/>
    <s v="Asignación al Gasto (Diario de Contabilidad)"/>
    <x v="0"/>
    <x v="11"/>
    <n v="10"/>
    <s v="Fredy"/>
    <m/>
    <m/>
    <x v="0"/>
    <x v="0"/>
    <s v="SATISFACTORIA"/>
    <m/>
    <m/>
    <m/>
  </r>
  <r>
    <n v="79"/>
    <m/>
    <m/>
    <x v="10"/>
    <x v="0"/>
    <x v="0"/>
    <x v="0"/>
    <x v="0"/>
    <x v="0"/>
    <s v="Impuestos por Pagar"/>
    <s v="Impuestos por Pagar Operación (PO o Diario Facturas)"/>
    <x v="0"/>
    <x v="0"/>
    <n v="10"/>
    <m/>
    <m/>
    <m/>
    <x v="2"/>
    <x v="1"/>
    <m/>
    <m/>
    <m/>
    <m/>
  </r>
  <r>
    <n v="137"/>
    <m/>
    <m/>
    <x v="0"/>
    <x v="0"/>
    <x v="0"/>
    <x v="0"/>
    <x v="0"/>
    <x v="0"/>
    <s v="Cierre del Periódo "/>
    <s v="Comprobar la funcionalidad del cierre de periodo por Conjunto de Usuarios, GL, AP , AR"/>
    <x v="0"/>
    <x v="0"/>
    <n v="10"/>
    <m/>
    <m/>
    <m/>
    <x v="3"/>
    <x v="1"/>
    <m/>
    <m/>
    <m/>
    <m/>
  </r>
  <r>
    <n v="81"/>
    <m/>
    <m/>
    <x v="10"/>
    <x v="0"/>
    <x v="0"/>
    <x v="0"/>
    <x v="0"/>
    <x v="0"/>
    <s v="Propuesta de Pagos sin Anticipos"/>
    <s v="Realizar Propuesta de Pagos en Diario de Pagos y realizar modificaciones para llegar a una propuesta final / Cancelar la propuesta / Validar propuesta que contenga pagos referenciados / Finalizar propuesta / "/>
    <x v="13"/>
    <x v="10"/>
    <n v="20"/>
    <m/>
    <m/>
    <m/>
    <x v="0"/>
    <x v="0"/>
    <m/>
    <s v="CXP"/>
    <s v="Validar TXT de Pagos / Se deberá realizar una revisión con Fernanda en función al historial de pago a proveedores el conjunto de pagos para que el TXT considere la regla correcta al momento de la generación y se tenga la información del formato correspondiente"/>
    <s v="Definir perspectiva de anticipo, si con el check de generación de propuesta de pago es suficiente (eliminar pagos negativos) o se refiere al pago de facturas de anticipo. Hay que validar la opcion de modificar el T.C., descripcion ya que layout no permite caracter de simbolos."/>
  </r>
  <r>
    <n v="82"/>
    <m/>
    <m/>
    <x v="10"/>
    <x v="0"/>
    <x v="0"/>
    <x v="0"/>
    <x v="0"/>
    <x v="0"/>
    <s v="Anticipo mediante Diario de Pagos"/>
    <s v="Generación de Anticipo Diario de Pagos Sin Factura"/>
    <x v="13"/>
    <x v="10"/>
    <n v="10"/>
    <m/>
    <m/>
    <m/>
    <x v="0"/>
    <x v="0"/>
    <m/>
    <m/>
    <s v="Validar TXT de Pagos / Se deberá realizar una revisión con Fernanda en función al historial de pago a proveedores el conjunto de pagos para que el TXT considere la regla correcta al momento de la generación y se tenga la información del formato correspondiente_x000a_Validar si se puede editar el TC en la propuesta de pago (Por tipo de cambio Pactado)"/>
    <s v="Se tiene que validar el .txt de pago y de regreso"/>
  </r>
  <r>
    <n v="83"/>
    <m/>
    <m/>
    <x v="10"/>
    <x v="0"/>
    <x v="0"/>
    <x v="0"/>
    <x v="0"/>
    <x v="0"/>
    <s v="Anticipo mediante Diario de Pagos"/>
    <s v="Generación de Anticipo Diario de Pagos con Factura"/>
    <x v="13"/>
    <x v="10"/>
    <n v="10"/>
    <m/>
    <m/>
    <m/>
    <x v="0"/>
    <x v="0"/>
    <m/>
    <m/>
    <s v="Actualizar documento Word con prueba realizada, Anticipo desde Diario de Pagos sin Factura y posteriormente proceso de Anticipo PO"/>
    <s v="El anticipo con PO siempre tendra que tener factura."/>
  </r>
  <r>
    <n v="84"/>
    <m/>
    <m/>
    <x v="10"/>
    <x v="0"/>
    <x v="0"/>
    <x v="0"/>
    <x v="0"/>
    <x v="0"/>
    <s v="Propuesta de Pagos con Anticipos"/>
    <s v="Realizar Propuesta de Pagos en Diario de Pagos incluyendo pagos de anticipos a una orden de compra / pagos de anticipo sin orden de compra pero asociadas a un proveedor / realizar modificaciones para llegar a una propuesta final / Cancelar la propuesta / Validar propuesta que contenga pagos referenciados / Finalizar propuesta / "/>
    <x v="13"/>
    <x v="10"/>
    <n v="20"/>
    <m/>
    <m/>
    <m/>
    <x v="0"/>
    <x v="0"/>
    <m/>
    <m/>
    <s v="Validar TXT de Pagos / Se deberá realizar una revisión con Fernanda en función al historial de pago a proveedores el conjunto de pagos para que el TXT considere la regla correcta al momento de la generación y se tenga la información del formato correspondiente_x000a_Validar si se puede editar el TC en la propuesta de pago (Por tipo de cambio Pactado)"/>
    <s v="Se revisaron dos .txt, se tendran dos formato y se cambiara el CXP04 para tener los layout correctos. De pagos referenciados no se hara propuesta de pago. La unica validacion que falta es que no se puede realizar cambio de TC desde propuesta de pago se tendria que realizar manual pero nos especificaran en donde lo podemos aplicar"/>
  </r>
  <r>
    <n v="85"/>
    <m/>
    <m/>
    <x v="10"/>
    <x v="0"/>
    <x v="0"/>
    <x v="0"/>
    <x v="0"/>
    <x v="0"/>
    <s v="Validacion de registros (Aprobación Diarios)"/>
    <s v="Validar registros por parte de los usuarios de AP, que todo registro del modulo pase por la aprobacion de la coordinacion"/>
    <x v="13"/>
    <x v="10"/>
    <n v="5"/>
    <m/>
    <m/>
    <m/>
    <x v="2"/>
    <x v="1"/>
    <m/>
    <m/>
    <m/>
    <s v="Falta saber los grupos de usuarios, y que nombres de Diarios pertenecen a cuentas por pagar"/>
  </r>
  <r>
    <n v="86"/>
    <m/>
    <m/>
    <x v="10"/>
    <x v="0"/>
    <x v="0"/>
    <x v="0"/>
    <x v="0"/>
    <x v="0"/>
    <s v="Flujo de Trabajo"/>
    <s v="Autorización de Flujo de Trabajo (Matriz de Aprobación)"/>
    <x v="14"/>
    <x v="10"/>
    <n v="10"/>
    <m/>
    <m/>
    <m/>
    <x v="2"/>
    <x v="1"/>
    <m/>
    <s v="CXP"/>
    <m/>
    <m/>
  </r>
  <r>
    <n v="89"/>
    <m/>
    <m/>
    <x v="0"/>
    <x v="0"/>
    <x v="0"/>
    <x v="0"/>
    <x v="0"/>
    <x v="0"/>
    <s v="Transferencias entre cuentas "/>
    <s v="Realizar transferencias bancarias entre diversas cuentas de la misma compañía o inter compañias. / En las intercompañias validar que el registro se refleje en la cuenta de la intercompañía contraria. / Cancelar registros de traspasos erróneos. / Validar la afectación de las cuentas contables correctas. "/>
    <x v="15"/>
    <x v="12"/>
    <n v="15"/>
    <s v="Fredy"/>
    <m/>
    <m/>
    <x v="0"/>
    <x v="1"/>
    <s v="Sólo se realizo el traspaso en tre cuentas de la misma empresa, queda penndiente el traspaso entre compañias"/>
    <m/>
    <s v="Para los traspasos de USD a MXN, en la línea de los MXN poner el tipo de cambio que resulte de dividr los USD entre el tipo de cambio de la transacción de USD, ejemplo 1,000 USD al tipo de cambio de 19.00 (1,000.00 usd/19,000 mxn) entonces el tipo de canio a ingresar en la linea de los MXN es de  0.052631"/>
    <m/>
  </r>
  <r>
    <n v="120"/>
    <m/>
    <m/>
    <x v="0"/>
    <x v="0"/>
    <x v="0"/>
    <x v="0"/>
    <x v="0"/>
    <x v="0"/>
    <s v="Intereses y retenciones"/>
    <s v="Registro de intereses y retenciones derivadas de inversiones bancarias.  Validar la afectación de las cuentas contables correctas. "/>
    <x v="15"/>
    <x v="12"/>
    <n v="15"/>
    <s v="Fredy"/>
    <m/>
    <m/>
    <x v="0"/>
    <x v="1"/>
    <s v="SATISFACTORIO"/>
    <m/>
    <m/>
    <m/>
  </r>
  <r>
    <n v="121"/>
    <m/>
    <m/>
    <x v="0"/>
    <x v="0"/>
    <x v="0"/>
    <x v="0"/>
    <x v="0"/>
    <x v="0"/>
    <s v="Comisiones e IVA "/>
    <s v="Registro de comisiones e IVA cobrados por el banco.  Validar la afectación de las cuentas contables correctas. "/>
    <x v="15"/>
    <x v="12"/>
    <n v="15"/>
    <s v="Fredy"/>
    <m/>
    <m/>
    <x v="0"/>
    <x v="1"/>
    <s v="SATISFACTORIO"/>
    <m/>
    <m/>
    <m/>
  </r>
  <r>
    <n v="90"/>
    <m/>
    <m/>
    <x v="10"/>
    <x v="0"/>
    <x v="0"/>
    <x v="0"/>
    <x v="0"/>
    <x v="0"/>
    <s v="Generación Layout Bancario"/>
    <s v="Desarrollo Generación Layout Bancario TXT para Pago en Banca / pagos con referencia bancaria /Revision de Layout de Retorno"/>
    <x v="16"/>
    <x v="13"/>
    <n v="30"/>
    <m/>
    <m/>
    <m/>
    <x v="0"/>
    <x v="0"/>
    <m/>
    <s v="CXP"/>
    <s v="Validar TXT de Pagos / Se deberá realizar una revisión con Fernanda en función al historial de pago a proveedores el conjunto de pagos para que el TXT considere la regla correcta al momento de la generación y se tenga la información del formato correspondiente"/>
    <s v="Se valido el desarrollo, y el layout de regreso, se modificaran las cuentas de banco que sean de santander 6 ceros al inicio, y uno al final, y actualizacion de cuentas de proveedores"/>
  </r>
  <r>
    <n v="91"/>
    <m/>
    <m/>
    <x v="10"/>
    <x v="0"/>
    <x v="0"/>
    <x v="0"/>
    <x v="0"/>
    <x v="0"/>
    <s v="Aplicación de pago de impuestos  (Pagos a las secretarías)"/>
    <s v="Registro contable de pago de impuestos federales, locales y municipales"/>
    <x v="0"/>
    <x v="14"/>
    <n v="10"/>
    <m/>
    <m/>
    <m/>
    <x v="2"/>
    <x v="1"/>
    <m/>
    <m/>
    <m/>
    <m/>
  </r>
  <r>
    <n v="92"/>
    <m/>
    <m/>
    <x v="10"/>
    <x v="0"/>
    <x v="0"/>
    <x v="0"/>
    <x v="0"/>
    <x v="0"/>
    <s v="Registro Diario de Pagos"/>
    <s v="Registro y proceso de cuentas contables Diario de Pagos a Proveedor"/>
    <x v="17"/>
    <x v="15"/>
    <n v="5"/>
    <m/>
    <m/>
    <m/>
    <x v="2"/>
    <x v="3"/>
    <m/>
    <m/>
    <m/>
    <s v="Ver en conjunto las definiciones de secuencias numericas de diarios"/>
  </r>
  <r>
    <n v="93"/>
    <m/>
    <m/>
    <x v="10"/>
    <x v="0"/>
    <x v="0"/>
    <x v="0"/>
    <x v="0"/>
    <x v="0"/>
    <s v="Impuestos Pagados (Cancelación por Flujo de efectivo)"/>
    <s v="Impuestos Pagados Operación (Diario de Pagos) Consulta de liquidación de impuestos automática "/>
    <x v="0"/>
    <x v="0"/>
    <n v="5"/>
    <m/>
    <m/>
    <m/>
    <x v="2"/>
    <x v="1"/>
    <m/>
    <m/>
    <m/>
    <m/>
  </r>
  <r>
    <n v="94"/>
    <m/>
    <m/>
    <x v="10"/>
    <x v="0"/>
    <x v="0"/>
    <x v="0"/>
    <x v="0"/>
    <x v="0"/>
    <s v="Alta / Modificacion de Proveedores"/>
    <s v="Alta de proveedores y/o modificacion de proveedores ya existentes."/>
    <x v="17"/>
    <x v="16"/>
    <n v="15"/>
    <m/>
    <m/>
    <m/>
    <x v="0"/>
    <x v="0"/>
    <m/>
    <s v="Diana"/>
    <s v="Pendiente de aprobar por Diana"/>
    <s v="En caso de que exista un cambio de Nombre o Razón Social o RFC en un Proveedor se creará uno nuevo y se suspendera la operación del anterior para tener el control y seguimiento de la operación con ambos"/>
  </r>
  <r>
    <n v="95"/>
    <m/>
    <m/>
    <x v="10"/>
    <x v="0"/>
    <x v="0"/>
    <x v="0"/>
    <x v="0"/>
    <x v="0"/>
    <s v="Condiciones de pago"/>
    <s v="Validacion de condiciones de pago previas a la propuesta de pago, validar que sucede cuando el termino de pago es modificado en la orden de compra, y confirmar los que vienen directo del alta del proveedor"/>
    <x v="13"/>
    <x v="17"/>
    <n v="5"/>
    <m/>
    <m/>
    <m/>
    <x v="2"/>
    <x v="4"/>
    <m/>
    <s v="Jonathan"/>
    <s v="Actualmente para los Diarios Factura si se omite la fecha de Factura considera la fecha de registro del diario para las condiciones de pago. Y si se pone la fecha factura considera esa fecha para las condiciones de Pago._x000a_Revisar por funcionalidad que considere directamente la fecha de registro en el DF y en la OC"/>
    <s v="Validar si hay opcion de tener terminos con fecha factura, y terminos o vencimiento a partir de aceptacion de factura. Se puede cuando es Factura con PO, pero no en el diario factura (Eso lo tienen que revisar GCG)"/>
  </r>
  <r>
    <n v="96"/>
    <m/>
    <m/>
    <x v="10"/>
    <x v="0"/>
    <x v="0"/>
    <x v="0"/>
    <x v="0"/>
    <x v="0"/>
    <s v="Cancelacion de Registros"/>
    <s v="Realizar pruebas de cancelacion de facturas, pagos, propuestas de pago, y verificar su impacto contable."/>
    <x v="13"/>
    <x v="17"/>
    <n v="20"/>
    <m/>
    <m/>
    <m/>
    <x v="2"/>
    <x v="3"/>
    <m/>
    <s v="Diana"/>
    <s v="Invertir el registro contable con un click es posible siempre y cuando no se afercte otro módulo (Bancos, Inventarios, Compras)._x000a_En caso de Afectar otro módulo caso PO se tendrá que hacer una PO negativa y liquidar la transacción._x000a_En caso de afectar el módulo de bancos se tendrá que realizar el registro opuesto de forma manual._x000a_En caso de que la inversión corresponda a la cuenta contable de contrapartida del proveedor o a una de las dimensiones financieras, se deberá realizar la reclasificación en un diario de contabilidad._x000a_En caso de que la factura del proveedor sea sin PO y se tenga que cancelar todo el registro se puede invertir el diario o la transacción_x000a_Diana debe aprobar"/>
    <s v="Indican que no hay forma de cancelar registros, cualquier cambio tendria que ser po negativa, o nota de credito con el .xml de cancelacion, hay que revisar para invertir los impactos contables, tambien GCG revisar la actualizacion de Dynamics"/>
  </r>
  <r>
    <n v="97"/>
    <m/>
    <m/>
    <x v="0"/>
    <x v="0"/>
    <x v="0"/>
    <x v="0"/>
    <x v="0"/>
    <x v="0"/>
    <s v="Generacion de registros contables"/>
    <s v="Realizacion de registros contables de reclasificaciones, provisiones de costos administrativos (IMSS, ISN, Nomina, ordenes de compra abiertas)"/>
    <x v="13"/>
    <x v="17"/>
    <m/>
    <m/>
    <m/>
    <m/>
    <x v="3"/>
    <x v="1"/>
    <m/>
    <m/>
    <m/>
    <m/>
  </r>
  <r>
    <n v="98"/>
    <m/>
    <m/>
    <x v="0"/>
    <x v="0"/>
    <x v="0"/>
    <x v="0"/>
    <x v="0"/>
    <x v="0"/>
    <s v="Generacion de registros contables"/>
    <s v="Realizacion de registros contables de reclasificaciones, provisiones de costos (ordenes de compra abiertas)"/>
    <x v="4"/>
    <x v="3"/>
    <m/>
    <m/>
    <m/>
    <m/>
    <x v="0"/>
    <x v="0"/>
    <m/>
    <m/>
    <m/>
    <s v="Igual a la carga del GL Masivas"/>
  </r>
  <r>
    <n v="122"/>
    <m/>
    <m/>
    <x v="11"/>
    <x v="0"/>
    <x v="0"/>
    <x v="0"/>
    <x v="0"/>
    <x v="0"/>
    <s v="Perfiles de asiento contable"/>
    <s v="Como usuario clave, requiero la funcionalidad de crear perfiles de asiento contable con la finalidad de llevar el registro de las todas las transacciones de forma automática en cuantas contables."/>
    <x v="18"/>
    <x v="18"/>
    <n v="10"/>
    <s v="Fredy"/>
    <m/>
    <m/>
    <x v="0"/>
    <x v="0"/>
    <s v="SATISFACTORIO"/>
    <m/>
    <m/>
    <m/>
  </r>
  <r>
    <n v="138"/>
    <m/>
    <m/>
    <x v="0"/>
    <x v="0"/>
    <x v="0"/>
    <x v="0"/>
    <x v="0"/>
    <x v="0"/>
    <s v="Transaccionar posterior al Cierre del Periódo"/>
    <s v="Comprobar la funcionalidad del conjunto o grupo de usuarios de cierre"/>
    <x v="0"/>
    <x v="0"/>
    <n v="10"/>
    <m/>
    <m/>
    <m/>
    <x v="3"/>
    <x v="1"/>
    <m/>
    <m/>
    <m/>
    <m/>
  </r>
  <r>
    <n v="141"/>
    <m/>
    <m/>
    <x v="0"/>
    <x v="0"/>
    <x v="0"/>
    <x v="0"/>
    <x v="0"/>
    <x v="0"/>
    <s v="Traspasos de saldos cierre del ejercicio "/>
    <s v="Proceso de cierre anual y traspaso de saldos, adicionalmente registro de ajustes de auditoria. Afectación de contabildiad electronica."/>
    <x v="0"/>
    <x v="0"/>
    <n v="15"/>
    <m/>
    <m/>
    <m/>
    <x v="3"/>
    <x v="1"/>
    <m/>
    <m/>
    <m/>
    <m/>
  </r>
  <r>
    <n v="102"/>
    <m/>
    <m/>
    <x v="10"/>
    <x v="0"/>
    <x v="0"/>
    <x v="0"/>
    <x v="0"/>
    <x v="0"/>
    <s v="Reportes"/>
    <s v="Realizar descarga de reportes de cuentas por pagar por descarga masiva "/>
    <x v="13"/>
    <x v="17"/>
    <n v="30"/>
    <m/>
    <m/>
    <m/>
    <x v="2"/>
    <x v="1"/>
    <m/>
    <m/>
    <m/>
    <m/>
  </r>
  <r>
    <n v="103"/>
    <m/>
    <m/>
    <x v="12"/>
    <x v="0"/>
    <x v="0"/>
    <x v="0"/>
    <x v="0"/>
    <x v="0"/>
    <s v="Alta de activo fijo "/>
    <s v="Asignación de Activo fijo (Diario de Adquisión Activo Fijo)"/>
    <x v="0"/>
    <x v="11"/>
    <n v="20"/>
    <s v="Fredy"/>
    <m/>
    <m/>
    <x v="0"/>
    <x v="0"/>
    <s v="SATISFACTORIA"/>
    <m/>
    <m/>
    <m/>
  </r>
  <r>
    <n v="80"/>
    <m/>
    <m/>
    <x v="0"/>
    <x v="0"/>
    <x v="0"/>
    <x v="0"/>
    <x v="0"/>
    <x v="0"/>
    <s v="Impuestos por Pagar"/>
    <s v="Impuestos por Pagar Operación (Diario Contabilidad)"/>
    <x v="0"/>
    <x v="0"/>
    <n v="10"/>
    <s v="Fredy"/>
    <m/>
    <m/>
    <x v="0"/>
    <x v="0"/>
    <s v="SATISFACTORIO"/>
    <m/>
    <m/>
    <m/>
  </r>
  <r>
    <n v="105"/>
    <m/>
    <m/>
    <x v="12"/>
    <x v="0"/>
    <x v="0"/>
    <x v="0"/>
    <x v="0"/>
    <x v="0"/>
    <s v="Depreciación de actifvo fijo "/>
    <s v="Proceso de depreciación de activo fijo por periodos completos"/>
    <x v="0"/>
    <x v="11"/>
    <n v="15"/>
    <s v="Fredy"/>
    <m/>
    <m/>
    <x v="0"/>
    <x v="0"/>
    <s v="SATISFACTORIA"/>
    <m/>
    <m/>
    <m/>
  </r>
  <r>
    <n v="106"/>
    <m/>
    <m/>
    <x v="12"/>
    <x v="0"/>
    <x v="0"/>
    <x v="0"/>
    <x v="0"/>
    <x v="0"/>
    <s v="Baja de Activo fijo "/>
    <s v="Baja de Activo / Vta Activo. Emsion de factura de la venta"/>
    <x v="0"/>
    <x v="0"/>
    <n v="20"/>
    <s v="Fredy"/>
    <m/>
    <m/>
    <x v="0"/>
    <x v="0"/>
    <s v="SATISFACTORIA"/>
    <m/>
    <m/>
    <s v="No se esta reflejando el moviemiento del registro de la venta"/>
  </r>
  <r>
    <n v="107"/>
    <m/>
    <m/>
    <x v="13"/>
    <x v="0"/>
    <x v="0"/>
    <x v="0"/>
    <x v="0"/>
    <x v="0"/>
    <s v="Determinación de Impuestos por Pagar"/>
    <s v="Determinación de Impuestos por Pagar"/>
    <x v="0"/>
    <x v="0"/>
    <n v="20"/>
    <m/>
    <m/>
    <m/>
    <x v="3"/>
    <x v="1"/>
    <m/>
    <m/>
    <m/>
    <m/>
  </r>
  <r>
    <n v="108"/>
    <m/>
    <m/>
    <x v="3"/>
    <x v="0"/>
    <x v="0"/>
    <x v="0"/>
    <x v="0"/>
    <x v="0"/>
    <s v="Reporte de movimientos contables del mes"/>
    <s v="Vista y descarga de Reporte de movimientos contables del mes (GL)"/>
    <x v="4"/>
    <x v="3"/>
    <n v="15"/>
    <s v="Christian Aguila"/>
    <m/>
    <m/>
    <x v="2"/>
    <x v="3"/>
    <m/>
    <s v="Jonathan / Diana"/>
    <s v="Se enviaran las secuencias para que nos manden la personalización que se deberá determinar en conjunto"/>
    <s v="Validar que el reporte Explorador de Origen de Contabilidad Cumple con los campos necesarios para el P&amp;L y dar el VoBo_x000a_Personalizar secuencias para identificar movimientos como en IFS (Tipo de Asiento)"/>
  </r>
  <r>
    <n v="109"/>
    <m/>
    <m/>
    <x v="3"/>
    <x v="0"/>
    <x v="0"/>
    <x v="0"/>
    <x v="0"/>
    <x v="0"/>
    <s v="Reclasificaciones"/>
    <s v="Registro en sistema y visualizacion"/>
    <x v="4"/>
    <x v="3"/>
    <n v="10"/>
    <s v="Christian Aguila"/>
    <m/>
    <m/>
    <x v="0"/>
    <x v="0"/>
    <s v="SATISFACTORIO"/>
    <m/>
    <m/>
    <m/>
  </r>
  <r>
    <n v="110"/>
    <m/>
    <m/>
    <x v="3"/>
    <x v="0"/>
    <x v="0"/>
    <x v="0"/>
    <x v="0"/>
    <x v="0"/>
    <s v="Tuberia TAMSA"/>
    <s v="Afectacion contable desde modulo (PO, recepcion en Inventario, cuenta de Balance y cuenta de Gasto)"/>
    <x v="4"/>
    <x v="3"/>
    <n v="15"/>
    <s v="Christian Aguila"/>
    <m/>
    <m/>
    <x v="2"/>
    <x v="3"/>
    <m/>
    <s v="Jonathan"/>
    <s v="Se revisó definición con Mauricio, se propone mostrarles un ejercicio completo para que validen la operación y sobre dicha información generen sus pruebas. Cambio de defiición"/>
    <m/>
  </r>
  <r>
    <n v="111"/>
    <m/>
    <m/>
    <x v="3"/>
    <x v="0"/>
    <x v="0"/>
    <x v="0"/>
    <x v="0"/>
    <x v="0"/>
    <s v="Tuberia PEMEX"/>
    <s v="Afectacion contable desde modulo (Recepcion en Inventario, AR y cuenta de Gasto)"/>
    <x v="4"/>
    <x v="3"/>
    <n v="15"/>
    <s v="Christian Aguila"/>
    <m/>
    <m/>
    <x v="2"/>
    <x v="3"/>
    <m/>
    <s v="Jonathan"/>
    <s v="Se revisó definición con Mauricio, se propone mostrarles un ejercicio completo para que validen la operación y sobre dicha información generen sus pruebas. Cambio de defiición"/>
    <m/>
  </r>
  <r>
    <n v="112"/>
    <m/>
    <m/>
    <x v="3"/>
    <x v="0"/>
    <x v="0"/>
    <x v="0"/>
    <x v="0"/>
    <x v="0"/>
    <s v="Diesel"/>
    <s v="Afectacion contable desde modulo (PO, recepcion en Inventario, cuenta de Balance y cuenta de Gasto)"/>
    <x v="4"/>
    <x v="3"/>
    <n v="15"/>
    <s v="Christian Aguila"/>
    <m/>
    <m/>
    <x v="0"/>
    <x v="0"/>
    <m/>
    <m/>
    <m/>
    <m/>
  </r>
  <r>
    <n v="113"/>
    <m/>
    <m/>
    <x v="3"/>
    <x v="0"/>
    <x v="0"/>
    <x v="0"/>
    <x v="0"/>
    <x v="0"/>
    <s v="Reporte Diesel"/>
    <s v="Vista y descarga de Reporte de movimientos del mes y existencias"/>
    <x v="4"/>
    <x v="3"/>
    <n v="15"/>
    <s v="Christian Aguila"/>
    <m/>
    <m/>
    <x v="0"/>
    <x v="0"/>
    <m/>
    <m/>
    <m/>
    <m/>
  </r>
  <r>
    <n v="114"/>
    <m/>
    <m/>
    <x v="3"/>
    <x v="0"/>
    <x v="0"/>
    <x v="0"/>
    <x v="0"/>
    <x v="0"/>
    <s v="Provisiones manuales"/>
    <s v="Registro en sistema y visualizacion"/>
    <x v="4"/>
    <x v="3"/>
    <n v="15"/>
    <s v="Christian Aguila"/>
    <m/>
    <m/>
    <x v="0"/>
    <x v="0"/>
    <s v="SATISFACTORIO"/>
    <m/>
    <m/>
    <m/>
  </r>
  <r>
    <n v="115"/>
    <m/>
    <m/>
    <x v="3"/>
    <x v="0"/>
    <x v="0"/>
    <x v="0"/>
    <x v="0"/>
    <x v="0"/>
    <s v="Visualizacion de Facturas"/>
    <s v="Vista desde PO y Proveedor"/>
    <x v="4"/>
    <x v="3"/>
    <n v="15"/>
    <s v="Christian Aguila"/>
    <m/>
    <m/>
    <x v="0"/>
    <x v="0"/>
    <m/>
    <m/>
    <m/>
    <s v="Se Requiere que las PO tengan las facturas adjuntas como PDF y no sólo como XML (Ver posibilidad de cargar PDF en la operación masiva por SFTP)_x000a_En la vista preeliminar del documento cargado porder ocupar todo el espacio para validar la información sin tener que descargar la factura (PDF)"/>
  </r>
  <r>
    <n v="116"/>
    <m/>
    <m/>
    <x v="3"/>
    <x v="0"/>
    <x v="0"/>
    <x v="0"/>
    <x v="0"/>
    <x v="0"/>
    <s v="Registos Intercompanias"/>
    <s v="Registro en sistema y visualizacion"/>
    <x v="4"/>
    <x v="3"/>
    <m/>
    <s v="Christian Aguila"/>
    <m/>
    <m/>
    <x v="2"/>
    <x v="3"/>
    <m/>
    <s v="GCG"/>
    <s v="No se puede generar la prueba interco hasta el momento de tener configurada la empresa AKAL"/>
    <m/>
  </r>
  <r>
    <n v="101"/>
    <m/>
    <m/>
    <x v="0"/>
    <x v="0"/>
    <x v="0"/>
    <x v="0"/>
    <x v="0"/>
    <x v="0"/>
    <s v="Amort. Seguros y gts Ant."/>
    <s v="Registro contable de amotización por medio de un diario recurrente"/>
    <x v="0"/>
    <x v="0"/>
    <n v="15"/>
    <s v="Fredy"/>
    <m/>
    <m/>
    <x v="0"/>
    <x v="0"/>
    <s v="SATISFACTORIO"/>
    <m/>
    <m/>
    <s v="Pendiente definir los grupos y libros de gtos pagados por anticipados y fianzas "/>
  </r>
  <r>
    <n v="118"/>
    <m/>
    <m/>
    <x v="0"/>
    <x v="0"/>
    <x v="0"/>
    <x v="0"/>
    <x v="0"/>
    <x v="0"/>
    <s v="Reporte de operaciones intercos"/>
    <s v="Proceso de extracción de operaciones y saldos Intercompañias"/>
    <x v="0"/>
    <x v="19"/>
    <n v="20"/>
    <m/>
    <m/>
    <m/>
    <x v="3"/>
    <x v="1"/>
    <m/>
    <m/>
    <m/>
    <m/>
  </r>
  <r>
    <n v="117"/>
    <m/>
    <m/>
    <x v="0"/>
    <x v="0"/>
    <x v="0"/>
    <x v="0"/>
    <x v="0"/>
    <x v="0"/>
    <s v="Extracción de voucher transaction "/>
    <s v="Procedimiento de extracción de información  y  addicion de columnas (TC, elaboro, fecha tc, etc)"/>
    <x v="0"/>
    <x v="0"/>
    <n v="15"/>
    <m/>
    <m/>
    <m/>
    <x v="3"/>
    <x v="1"/>
    <m/>
    <m/>
    <m/>
    <m/>
  </r>
  <r>
    <n v="126"/>
    <m/>
    <m/>
    <x v="11"/>
    <x v="0"/>
    <x v="0"/>
    <x v="0"/>
    <x v="0"/>
    <x v="0"/>
    <s v="Formas de pago"/>
    <s v="Como usuario clave, requiero la funcionalidad de crear formas de cobro para poder captar los pagos generados por los clientes"/>
    <x v="18"/>
    <x v="18"/>
    <n v="10"/>
    <s v="Fredy"/>
    <m/>
    <m/>
    <x v="0"/>
    <x v="0"/>
    <s v="SATISFACTORIO"/>
    <m/>
    <m/>
    <m/>
  </r>
  <r>
    <n v="127"/>
    <m/>
    <m/>
    <x v="11"/>
    <x v="0"/>
    <x v="0"/>
    <x v="0"/>
    <x v="0"/>
    <x v="0"/>
    <s v="Condiciones de pago"/>
    <s v="Como usuario clave, requiero la funcionalidad de crear condiciones de pago con la finalidad de registrar los términos de pago pactados con los clientes para el cobro de sus facturas."/>
    <x v="18"/>
    <x v="18"/>
    <n v="10"/>
    <s v="Fredy"/>
    <m/>
    <m/>
    <x v="0"/>
    <x v="0"/>
    <s v="SATISFACTORIO"/>
    <m/>
    <m/>
    <m/>
  </r>
  <r>
    <n v="130"/>
    <m/>
    <m/>
    <x v="11"/>
    <x v="0"/>
    <x v="0"/>
    <x v="0"/>
    <x v="0"/>
    <x v="0"/>
    <s v="Revalorización de moneda extranjera"/>
    <s v="Como usuario clave, requiero la funcionalidad de poder revalorizar las transacciones en moneda extranjera con la finalidad de mantenerlos los saldos de clientes actualizados."/>
    <x v="18"/>
    <x v="18"/>
    <n v="10"/>
    <s v="Fredy"/>
    <m/>
    <m/>
    <x v="2"/>
    <x v="3"/>
    <m/>
    <s v="GCG/CXC"/>
    <s v="Se gerero la simulación pero se requier volverla a generar en la sesion con Julieta poara cerrar esta prueba"/>
    <m/>
  </r>
  <r>
    <n v="136"/>
    <m/>
    <m/>
    <x v="1"/>
    <x v="0"/>
    <x v="0"/>
    <x v="0"/>
    <x v="0"/>
    <x v="0"/>
    <s v="Reportes de bancos"/>
    <s v="Ejecutar reportes funcionales del módulo para la validación del detalle del mismo, como un estado de cuenta bancario, traspasos entre cuentas, traspasos intercompañias etc. "/>
    <x v="2"/>
    <x v="1"/>
    <n v="10"/>
    <s v="Fredy"/>
    <m/>
    <m/>
    <x v="0"/>
    <x v="0"/>
    <s v="SATISFACTORIO"/>
    <m/>
    <m/>
    <m/>
  </r>
  <r>
    <n v="4"/>
    <m/>
    <m/>
    <x v="3"/>
    <x v="0"/>
    <x v="0"/>
    <x v="0"/>
    <x v="0"/>
    <x v="0"/>
    <s v="Creación Contrato"/>
    <m/>
    <x v="18"/>
    <x v="20"/>
    <n v="15"/>
    <m/>
    <m/>
    <m/>
    <x v="0"/>
    <x v="0"/>
    <s v="SATISFACTORIO"/>
    <m/>
    <m/>
    <m/>
  </r>
  <r>
    <n v="5"/>
    <m/>
    <m/>
    <x v="3"/>
    <x v="0"/>
    <x v="0"/>
    <x v="0"/>
    <x v="0"/>
    <x v="0"/>
    <s v="Carga Anexo C "/>
    <s v="(Partidas), Hitos / PARTIDAS "/>
    <x v="18"/>
    <x v="20"/>
    <n v="30"/>
    <m/>
    <m/>
    <m/>
    <x v="0"/>
    <x v="0"/>
    <s v="SATISFACTORIO"/>
    <m/>
    <m/>
    <m/>
  </r>
  <r>
    <n v="99"/>
    <m/>
    <m/>
    <x v="0"/>
    <x v="0"/>
    <x v="0"/>
    <x v="0"/>
    <x v="0"/>
    <x v="0"/>
    <s v="Generacion de registros contables"/>
    <s v="Realizacion de registros contables de reclasificaciones, provisiones de costos administrativos (Ingresos)"/>
    <x v="18"/>
    <x v="20"/>
    <m/>
    <m/>
    <m/>
    <m/>
    <x v="3"/>
    <x v="1"/>
    <m/>
    <m/>
    <m/>
    <m/>
  </r>
  <r>
    <n v="123"/>
    <m/>
    <m/>
    <x v="3"/>
    <x v="0"/>
    <x v="0"/>
    <x v="0"/>
    <x v="0"/>
    <x v="0"/>
    <s v="Facturación PEMEX"/>
    <s v="Orden de venta de servicios"/>
    <x v="18"/>
    <x v="18"/>
    <n v="20"/>
    <m/>
    <m/>
    <m/>
    <x v="2"/>
    <x v="1"/>
    <m/>
    <s v="Fredy"/>
    <s v="Definir el número de OV para diesel y tuberia ya que las ordenes de servicio le sirve de forma manual, revisar con Ramón y Jessica_x000a__x000a_1. Se requiere poder generar una OS que afecte 2 etapas del prouecto (ahora esta configurada etapa por paroyecto) NO PARA ARRANQUIE_x000a_2. Se requiere poder facturar menos de lo remisionado y que ese pendiente se vaya a una cuenta de descuento finalizando la remisoón para que estas cantidades ya no se puedan facturar._x000a_ SE REQUIER PARA ARRANQUE_x000a_ (Cargo a descuentos vs ingresos)_x000a_3. Si se tuviera una factura de saldos iniciales y esxite el tema del punto 2 se tendria que cancelar la factura y meter la os por el nuevo procedimiento del tema 2."/>
    <s v="Se requieren 3 decimales en la recepción ademas de que no sale la adenda"/>
  </r>
  <r>
    <n v="124"/>
    <m/>
    <m/>
    <x v="11"/>
    <x v="0"/>
    <x v="0"/>
    <x v="0"/>
    <x v="0"/>
    <x v="0"/>
    <s v="Facturación Interco (Intereses)"/>
    <m/>
    <x v="18"/>
    <x v="18"/>
    <n v="20"/>
    <m/>
    <m/>
    <m/>
    <x v="3"/>
    <x v="1"/>
    <m/>
    <m/>
    <m/>
    <m/>
  </r>
  <r>
    <n v="125"/>
    <m/>
    <m/>
    <x v="3"/>
    <x v="0"/>
    <x v="0"/>
    <x v="0"/>
    <x v="0"/>
    <x v="0"/>
    <s v="Nota de Crédito PEMEX"/>
    <m/>
    <x v="18"/>
    <x v="18"/>
    <n v="20"/>
    <m/>
    <m/>
    <m/>
    <x v="3"/>
    <x v="1"/>
    <m/>
    <m/>
    <m/>
    <m/>
  </r>
  <r>
    <n v="128"/>
    <m/>
    <m/>
    <x v="11"/>
    <x v="0"/>
    <x v="0"/>
    <x v="0"/>
    <x v="0"/>
    <x v="0"/>
    <s v="Diario de Cobros"/>
    <s v="Parcial"/>
    <x v="18"/>
    <x v="18"/>
    <n v="20"/>
    <m/>
    <m/>
    <m/>
    <x v="3"/>
    <x v="1"/>
    <m/>
    <m/>
    <m/>
    <m/>
  </r>
  <r>
    <n v="129"/>
    <m/>
    <m/>
    <x v="11"/>
    <x v="0"/>
    <x v="0"/>
    <x v="0"/>
    <x v="0"/>
    <x v="0"/>
    <s v="Diario de Cobros"/>
    <s v="Total"/>
    <x v="18"/>
    <x v="18"/>
    <n v="20"/>
    <m/>
    <m/>
    <m/>
    <x v="3"/>
    <x v="1"/>
    <m/>
    <m/>
    <m/>
    <m/>
  </r>
  <r>
    <n v="131"/>
    <m/>
    <m/>
    <x v="11"/>
    <x v="0"/>
    <x v="0"/>
    <x v="0"/>
    <x v="0"/>
    <x v="0"/>
    <s v="Reporte de antigüedad de saldos"/>
    <s v="Como usuario clave, requiero el reporte de antigüedad de saldos para identificación de las facturas pendientes de cobro."/>
    <x v="18"/>
    <x v="18"/>
    <n v="10"/>
    <m/>
    <m/>
    <m/>
    <x v="3"/>
    <x v="1"/>
    <m/>
    <m/>
    <m/>
    <m/>
  </r>
  <r>
    <n v="133"/>
    <m/>
    <m/>
    <x v="10"/>
    <x v="0"/>
    <x v="0"/>
    <x v="0"/>
    <x v="0"/>
    <x v="0"/>
    <s v="Revalorización de moneda extranjera"/>
    <s v="Como usuario clave, requiero la funcionalidad de poder revalorizar las transacciones en moneda extranjera con la finalidad de mantenerlos los saldos de proveedores actualizados."/>
    <x v="13"/>
    <x v="10"/>
    <n v="15"/>
    <m/>
    <m/>
    <m/>
    <x v="0"/>
    <x v="0"/>
    <m/>
    <m/>
    <m/>
    <s v="Recibimos link de instrucciones"/>
  </r>
  <r>
    <n v="132"/>
    <m/>
    <m/>
    <x v="11"/>
    <x v="0"/>
    <x v="0"/>
    <x v="0"/>
    <x v="0"/>
    <x v="0"/>
    <s v="Reporte de estado de cuenta del cliente / Validar con Balanza Comp"/>
    <s v="Como usuario clave, requiero el reporte de estado de cuenta de cada cliente para identificar las transacciones generadas con cada cliente."/>
    <x v="18"/>
    <x v="18"/>
    <n v="10"/>
    <m/>
    <m/>
    <m/>
    <x v="3"/>
    <x v="1"/>
    <m/>
    <m/>
    <m/>
    <m/>
  </r>
  <r>
    <n v="134"/>
    <m/>
    <m/>
    <x v="1"/>
    <x v="0"/>
    <x v="0"/>
    <x v="0"/>
    <x v="0"/>
    <x v="0"/>
    <s v="Conciliación bancaria manual"/>
    <s v="Ejecutar el proceso de la conciliación manual por cuenta bancaria, día y periodo requerido.  / Ajustar saldos en caso de requerirse para conciliar. "/>
    <x v="2"/>
    <x v="1"/>
    <n v="20"/>
    <s v="Fredy"/>
    <m/>
    <m/>
    <x v="0"/>
    <x v="1"/>
    <s v="SATISFACTORIO"/>
    <m/>
    <m/>
    <m/>
  </r>
  <r>
    <n v="135"/>
    <m/>
    <m/>
    <x v="1"/>
    <x v="0"/>
    <x v="0"/>
    <x v="0"/>
    <x v="0"/>
    <x v="0"/>
    <s v="Revalorización de moneda extranjera"/>
    <s v="Se realiza por el Módulo o por Contabilidad"/>
    <x v="15"/>
    <x v="12"/>
    <n v="15"/>
    <m/>
    <m/>
    <m/>
    <x v="3"/>
    <x v="1"/>
    <m/>
    <m/>
    <m/>
    <m/>
  </r>
  <r>
    <n v="119"/>
    <m/>
    <m/>
    <x v="0"/>
    <x v="0"/>
    <x v="0"/>
    <x v="0"/>
    <x v="0"/>
    <x v="0"/>
    <s v="Revaluación de Saldos"/>
    <s v="Proceso de revaluación por modulo y saldos contables. Revisión de impacto fiscal. "/>
    <x v="0"/>
    <x v="0"/>
    <n v="15"/>
    <m/>
    <m/>
    <m/>
    <x v="3"/>
    <x v="1"/>
    <m/>
    <m/>
    <m/>
    <m/>
  </r>
  <r>
    <n v="139"/>
    <m/>
    <m/>
    <x v="0"/>
    <x v="0"/>
    <x v="0"/>
    <x v="0"/>
    <x v="0"/>
    <x v="0"/>
    <s v="Eliminación"/>
    <s v="Eliminar cuenta contable, modificación de dimensiones financieras. (Suspensión de Cuenta y Dimenciones)"/>
    <x v="0"/>
    <x v="0"/>
    <n v="5"/>
    <s v="Fredy"/>
    <m/>
    <m/>
    <x v="0"/>
    <x v="0"/>
    <s v="SATISFACTORIO"/>
    <m/>
    <m/>
    <m/>
  </r>
  <r>
    <n v="140"/>
    <m/>
    <m/>
    <x v="0"/>
    <x v="0"/>
    <x v="0"/>
    <x v="0"/>
    <x v="0"/>
    <x v="0"/>
    <s v="Emisión de Estados financieros mensuales (MR)"/>
    <s v="Proceso de estructura de emisión de Estados financieros ( ajustes contables durante meses anteriores)"/>
    <x v="0"/>
    <x v="0"/>
    <n v="30"/>
    <s v="Fredy"/>
    <s v="Aprobada"/>
    <s v="Aprobar"/>
    <x v="0"/>
    <x v="0"/>
    <s v="SATISFACTORIO"/>
    <m/>
    <m/>
    <m/>
  </r>
  <r>
    <n v="78"/>
    <m/>
    <m/>
    <x v="0"/>
    <x v="0"/>
    <x v="0"/>
    <x v="0"/>
    <x v="0"/>
    <x v="0"/>
    <s v="Proceso de Facturación Básicos"/>
    <s v="Generación Diarios Facturas (Facturas intereses, traspaso de gastos, refacturación)"/>
    <x v="0"/>
    <x v="0"/>
    <m/>
    <m/>
    <m/>
    <m/>
    <x v="3"/>
    <x v="1"/>
    <m/>
    <m/>
    <m/>
    <m/>
  </r>
  <r>
    <n v="100"/>
    <m/>
    <m/>
    <x v="0"/>
    <x v="0"/>
    <x v="0"/>
    <x v="0"/>
    <x v="0"/>
    <x v="0"/>
    <s v="Generacion de registros contables"/>
    <s v="Registros contables de IMSS, ISN, Nomina, Impuestos, PTU"/>
    <x v="0"/>
    <x v="0"/>
    <n v="5"/>
    <s v="Fredy"/>
    <m/>
    <m/>
    <x v="0"/>
    <x v="0"/>
    <s v="SATISFACTORIO"/>
    <m/>
    <m/>
    <m/>
  </r>
  <r>
    <n v="142"/>
    <m/>
    <m/>
    <x v="10"/>
    <x v="0"/>
    <x v="0"/>
    <x v="0"/>
    <x v="0"/>
    <x v="0"/>
    <s v="Carga Factura sin PO a Codificar"/>
    <s v="Revision de facturas ya en sistema por SFTP, que posteriormente se modificaran para codificar las lineas de costo con carga masiva (Layout)"/>
    <x v="13"/>
    <x v="17"/>
    <n v="30"/>
    <m/>
    <m/>
    <m/>
    <x v="2"/>
    <x v="1"/>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0A32A5-B134-48E0-A5B0-071C296B04E5}" name="TablaDinámica2" cacheId="0"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rowHeaderCaption="Módulo">
  <location ref="A3:F19" firstHeaderRow="1" firstDataRow="2" firstDataCol="1"/>
  <pivotFields count="23">
    <pivotField dataField="1" showAll="0"/>
    <pivotField showAll="0"/>
    <pivotField showAll="0"/>
    <pivotField axis="axisRow" showAll="0">
      <items count="16">
        <item x="12"/>
        <item x="8"/>
        <item x="5"/>
        <item x="0"/>
        <item x="11"/>
        <item x="10"/>
        <item x="7"/>
        <item x="6"/>
        <item x="1"/>
        <item x="3"/>
        <item x="4"/>
        <item x="2"/>
        <item x="13"/>
        <item x="9"/>
        <item m="1"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x="1"/>
        <item x="2"/>
        <item m="1" x="4"/>
        <item n="Por probar" x="3"/>
        <item t="default"/>
      </items>
    </pivotField>
    <pivotField showAll="0"/>
    <pivotField showAll="0"/>
    <pivotField showAll="0"/>
    <pivotField showAll="0"/>
    <pivotField showAll="0"/>
  </pivotFields>
  <rowFields count="1">
    <field x="3"/>
  </rowFields>
  <rowItems count="15">
    <i>
      <x/>
    </i>
    <i>
      <x v="1"/>
    </i>
    <i>
      <x v="2"/>
    </i>
    <i>
      <x v="3"/>
    </i>
    <i>
      <x v="4"/>
    </i>
    <i>
      <x v="5"/>
    </i>
    <i>
      <x v="6"/>
    </i>
    <i>
      <x v="7"/>
    </i>
    <i>
      <x v="8"/>
    </i>
    <i>
      <x v="9"/>
    </i>
    <i>
      <x v="10"/>
    </i>
    <i>
      <x v="11"/>
    </i>
    <i>
      <x v="12"/>
    </i>
    <i>
      <x v="13"/>
    </i>
    <i t="grand">
      <x/>
    </i>
  </rowItems>
  <colFields count="1">
    <field x="17"/>
  </colFields>
  <colItems count="5">
    <i>
      <x/>
    </i>
    <i>
      <x v="1"/>
    </i>
    <i>
      <x v="2"/>
    </i>
    <i>
      <x v="4"/>
    </i>
    <i t="grand">
      <x/>
    </i>
  </colItems>
  <dataFields count="1">
    <dataField name="Cuenta de ID" fld="0" subtotal="count" baseField="3" baseItem="0"/>
  </dataFields>
  <formats count="17">
    <format dxfId="127">
      <pivotArea outline="0" collapsedLevelsAreSubtotals="1" fieldPosition="0"/>
    </format>
    <format dxfId="126">
      <pivotArea outline="0" collapsedLevelsAreSubtotals="1" fieldPosition="0"/>
    </format>
    <format dxfId="125">
      <pivotArea dataOnly="0" labelOnly="1" fieldPosition="0">
        <references count="1">
          <reference field="3" count="0"/>
        </references>
      </pivotArea>
    </format>
    <format dxfId="124">
      <pivotArea dataOnly="0" labelOnly="1" grandRow="1" outline="0" fieldPosition="0"/>
    </format>
    <format dxfId="123">
      <pivotArea outline="0" collapsedLevelsAreSubtotals="1" fieldPosition="0"/>
    </format>
    <format dxfId="122">
      <pivotArea field="3" type="button" dataOnly="0" labelOnly="1" outline="0" axis="axisRow" fieldPosition="0"/>
    </format>
    <format dxfId="121">
      <pivotArea dataOnly="0" labelOnly="1" fieldPosition="0">
        <references count="1">
          <reference field="3" count="0"/>
        </references>
      </pivotArea>
    </format>
    <format dxfId="120">
      <pivotArea dataOnly="0" labelOnly="1" grandRow="1" outline="0" fieldPosition="0"/>
    </format>
    <format dxfId="119">
      <pivotArea dataOnly="0" labelOnly="1" fieldPosition="0">
        <references count="1">
          <reference field="17" count="0"/>
        </references>
      </pivotArea>
    </format>
    <format dxfId="118">
      <pivotArea dataOnly="0" labelOnly="1" grandCol="1" outline="0" fieldPosition="0"/>
    </format>
    <format dxfId="117">
      <pivotArea collapsedLevelsAreSubtotals="1" fieldPosition="0">
        <references count="2">
          <reference field="3" count="1">
            <x v="9"/>
          </reference>
          <reference field="17" count="1" selected="0">
            <x v="4"/>
          </reference>
        </references>
      </pivotArea>
    </format>
    <format dxfId="116">
      <pivotArea collapsedLevelsAreSubtotals="1" fieldPosition="0">
        <references count="2">
          <reference field="3" count="1">
            <x v="5"/>
          </reference>
          <reference field="17" count="1" selected="0">
            <x v="4"/>
          </reference>
        </references>
      </pivotArea>
    </format>
    <format dxfId="115">
      <pivotArea collapsedLevelsAreSubtotals="1" fieldPosition="0">
        <references count="2">
          <reference field="3" count="1">
            <x v="3"/>
          </reference>
          <reference field="17" count="1" selected="0">
            <x v="4"/>
          </reference>
        </references>
      </pivotArea>
    </format>
    <format dxfId="114">
      <pivotArea collapsedLevelsAreSubtotals="1" fieldPosition="0">
        <references count="2">
          <reference field="3" count="1">
            <x v="3"/>
          </reference>
          <reference field="17" count="1" selected="0">
            <x v="4"/>
          </reference>
        </references>
      </pivotArea>
    </format>
    <format dxfId="113">
      <pivotArea collapsedLevelsAreSubtotals="1" fieldPosition="0">
        <references count="2">
          <reference field="3" count="1">
            <x v="8"/>
          </reference>
          <reference field="17" count="1" selected="0">
            <x v="4"/>
          </reference>
        </references>
      </pivotArea>
    </format>
    <format dxfId="112">
      <pivotArea collapsedLevelsAreSubtotals="1" fieldPosition="0">
        <references count="2">
          <reference field="3" count="1">
            <x v="4"/>
          </reference>
          <reference field="17" count="1" selected="0">
            <x v="4"/>
          </reference>
        </references>
      </pivotArea>
    </format>
    <format dxfId="111">
      <pivotArea collapsedLevelsAreSubtotals="1" fieldPosition="0">
        <references count="2">
          <reference field="3" count="7">
            <x v="4"/>
            <x v="5"/>
            <x v="6"/>
            <x v="7"/>
            <x v="8"/>
            <x v="9"/>
            <x v="10"/>
          </reference>
          <reference field="17"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ablaDinámica2" cacheId="0" applyNumberFormats="0" applyBorderFormats="0" applyFontFormats="0" applyPatternFormats="0" applyAlignmentFormats="0" applyWidthHeightFormats="1" dataCaption="Valores" updatedVersion="8" minRefreshableVersion="3" useAutoFormatting="1" itemPrintTitles="1" createdVersion="6" indent="0" compact="0" compactData="0" multipleFieldFilters="0">
  <location ref="E8:F14" firstHeaderRow="1" firstDataRow="1" firstDataCol="2"/>
  <pivotFields count="23">
    <pivotField compact="0" outline="0" showAll="0"/>
    <pivotField compact="0" outline="0" showAll="0" defaultSubtotal="0"/>
    <pivotField compact="0" numFmtId="4" outline="0" showAll="0" defaultSubtotal="0"/>
    <pivotField compact="0" outline="0" showAll="0" defaultSubtotal="0"/>
    <pivotField axis="axisRow" compact="0" outline="0" showAll="0" defaultSubtotal="0">
      <items count="17">
        <item m="1" x="4"/>
        <item m="1" x="12"/>
        <item m="1" x="6"/>
        <item m="1" x="2"/>
        <item m="1" x="16"/>
        <item m="1" x="13"/>
        <item m="1" x="3"/>
        <item m="1" x="1"/>
        <item m="1" x="7"/>
        <item m="1" x="5"/>
        <item m="1" x="14"/>
        <item m="1" x="11"/>
        <item m="1" x="10"/>
        <item m="1" x="15"/>
        <item x="0"/>
        <item m="1" x="8"/>
        <item m="1" x="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3">
        <item m="1" x="31"/>
        <item m="1" x="56"/>
        <item x="9"/>
        <item m="1" x="32"/>
        <item x="7"/>
        <item m="1" x="23"/>
        <item m="1" x="47"/>
        <item m="1" x="40"/>
        <item m="1" x="21"/>
        <item x="18"/>
        <item m="1" x="20"/>
        <item m="1" x="33"/>
        <item m="1" x="60"/>
        <item m="1" x="62"/>
        <item m="1" x="41"/>
        <item m="1" x="25"/>
        <item m="1" x="52"/>
        <item x="13"/>
        <item m="1" x="30"/>
        <item x="0"/>
        <item m="1" x="36"/>
        <item m="1" x="39"/>
        <item m="1" x="35"/>
        <item m="1" x="42"/>
        <item m="1" x="58"/>
        <item m="1" x="46"/>
        <item m="1" x="37"/>
        <item m="1" x="61"/>
        <item m="1" x="48"/>
        <item m="1" x="38"/>
        <item m="1" x="28"/>
        <item m="1" x="54"/>
        <item m="1" x="53"/>
        <item m="1" x="59"/>
        <item m="1" x="19"/>
        <item m="1" x="55"/>
        <item m="1" x="22"/>
        <item m="1" x="45"/>
        <item m="1" x="26"/>
        <item m="1" x="27"/>
        <item m="1" x="24"/>
        <item m="1" x="34"/>
        <item m="1" x="49"/>
        <item m="1" x="50"/>
        <item m="1" x="44"/>
        <item m="1" x="51"/>
        <item m="1" x="29"/>
        <item m="1" x="57"/>
        <item m="1" x="43"/>
        <item x="1"/>
        <item x="3"/>
        <item x="4"/>
        <item x="5"/>
        <item x="6"/>
        <item x="8"/>
        <item x="10"/>
        <item x="11"/>
        <item x="12"/>
        <item x="14"/>
        <item x="2"/>
        <item x="15"/>
        <item x="16"/>
        <item x="17"/>
      </items>
    </pivotField>
    <pivotField compact="0" outline="0" showAll="0" defaultSubtotal="0">
      <items count="57">
        <item m="1" x="51"/>
        <item m="1" x="39"/>
        <item m="1" x="34"/>
        <item m="1" x="38"/>
        <item m="1" x="31"/>
        <item m="1" x="54"/>
        <item m="1" x="52"/>
        <item m="1" x="56"/>
        <item x="6"/>
        <item m="1" x="44"/>
        <item m="1" x="22"/>
        <item m="1" x="29"/>
        <item m="1" x="48"/>
        <item m="1" x="40"/>
        <item m="1" x="24"/>
        <item m="1" x="25"/>
        <item m="1" x="46"/>
        <item m="1" x="37"/>
        <item m="1" x="43"/>
        <item m="1" x="50"/>
        <item m="1" x="32"/>
        <item m="1" x="45"/>
        <item m="1" x="23"/>
        <item m="1" x="21"/>
        <item m="1" x="26"/>
        <item m="1" x="53"/>
        <item m="1" x="33"/>
        <item m="1" x="47"/>
        <item m="1" x="35"/>
        <item m="1" x="36"/>
        <item m="1" x="27"/>
        <item m="1" x="30"/>
        <item m="1" x="49"/>
        <item m="1" x="41"/>
        <item m="1" x="55"/>
        <item m="1" x="28"/>
        <item m="1" x="42"/>
        <item x="0"/>
        <item x="20"/>
        <item x="2"/>
        <item x="3"/>
        <item x="4"/>
        <item x="5"/>
        <item x="7"/>
        <item x="8"/>
        <item x="9"/>
        <item x="10"/>
        <item x="1"/>
        <item x="12"/>
        <item x="13"/>
        <item x="15"/>
        <item x="16"/>
        <item x="17"/>
        <item x="11"/>
        <item x="19"/>
        <item x="18"/>
        <item x="14"/>
      </items>
    </pivotField>
    <pivotField compact="0" outline="0" showAl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7">
        <item x="1"/>
        <item x="0"/>
        <item m="1" x="6"/>
        <item m="1" x="5"/>
        <item x="4"/>
        <item x="3"/>
        <item x="2"/>
      </items>
    </pivotField>
    <pivotField compact="0" outline="0" showAll="0" defaultSubtotal="0"/>
    <pivotField compact="0" outline="0" showAll="0"/>
    <pivotField compact="0" outline="0" showAll="0" defaultSubtotal="0"/>
    <pivotField compact="0" outline="0" showAll="0" defaultSubtotal="0"/>
  </pivotFields>
  <rowFields count="2">
    <field x="4"/>
    <field x="18"/>
  </rowFields>
  <rowItems count="6">
    <i>
      <x v="14"/>
      <x/>
    </i>
    <i r="1">
      <x v="1"/>
    </i>
    <i r="1">
      <x v="4"/>
    </i>
    <i r="1">
      <x v="5"/>
    </i>
    <i r="1">
      <x v="6"/>
    </i>
    <i t="grand">
      <x/>
    </i>
  </rowItems>
  <colItems count="1">
    <i/>
  </colItems>
  <formats count="36">
    <format dxfId="74">
      <pivotArea outline="0" collapsedLevelsAreSubtotals="1" fieldPosition="0"/>
    </format>
    <format dxfId="73">
      <pivotArea type="all" dataOnly="0" outline="0" fieldPosition="0"/>
    </format>
    <format dxfId="72">
      <pivotArea outline="0" collapsedLevelsAreSubtotals="1" fieldPosition="0"/>
    </format>
    <format dxfId="71">
      <pivotArea field="11" type="button" dataOnly="0" labelOnly="1" outline="0"/>
    </format>
    <format dxfId="70">
      <pivotArea field="12" type="button" dataOnly="0" labelOnly="1" outline="0"/>
    </format>
    <format dxfId="69">
      <pivotArea dataOnly="0" labelOnly="1" outline="0" axis="axisValues" fieldPosition="0"/>
    </format>
    <format dxfId="68">
      <pivotArea dataOnly="0" labelOnly="1" grandRow="1" outline="0"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field="11" type="button" dataOnly="0" labelOnly="1" outline="0"/>
    </format>
    <format dxfId="63">
      <pivotArea field="12" type="button" dataOnly="0" labelOnly="1" outline="0"/>
    </format>
    <format dxfId="62">
      <pivotArea dataOnly="0" labelOnly="1" outline="0" axis="axisValues" fieldPosition="0"/>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1" type="button" dataOnly="0" labelOnly="1" outline="0"/>
    </format>
    <format dxfId="56">
      <pivotArea field="12" type="button" dataOnly="0" labelOnly="1" outline="0"/>
    </format>
    <format dxfId="55">
      <pivotArea dataOnly="0" labelOnly="1" outline="0" axis="axisValues" fieldPosition="0"/>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11" type="button" dataOnly="0" labelOnly="1" outline="0"/>
    </format>
    <format dxfId="49">
      <pivotArea field="12" type="button" dataOnly="0" labelOnly="1" outline="0"/>
    </format>
    <format dxfId="48">
      <pivotArea dataOnly="0" labelOnly="1" outline="0" axis="axisValues" fieldPosition="0"/>
    </format>
    <format dxfId="47">
      <pivotArea dataOnly="0" labelOnly="1" grandRow="1" outline="0" fieldPosition="0"/>
    </format>
    <format dxfId="46">
      <pivotArea dataOnly="0" labelOnly="1" outline="0" axis="axisValues" fieldPosition="0"/>
    </format>
    <format dxfId="45">
      <pivotArea type="all" dataOnly="0" outline="0" fieldPosition="0"/>
    </format>
    <format dxfId="44">
      <pivotArea outline="0" collapsedLevelsAreSubtotals="1" fieldPosition="0"/>
    </format>
    <format dxfId="43">
      <pivotArea field="11" type="button" dataOnly="0" labelOnly="1" outline="0"/>
    </format>
    <format dxfId="42">
      <pivotArea field="12" type="button" dataOnly="0" labelOnly="1" outline="0"/>
    </format>
    <format dxfId="41">
      <pivotArea dataOnly="0" labelOnly="1" outline="0" axis="axisValues" fieldPosition="0"/>
    </format>
    <format dxfId="40">
      <pivotArea dataOnly="0" labelOnly="1" grandRow="1" outline="0" fieldPosition="0"/>
    </format>
    <format dxfId="39">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TablaDinámica1" cacheId="0" applyNumberFormats="0" applyBorderFormats="0" applyFontFormats="0" applyPatternFormats="0" applyAlignmentFormats="0" applyWidthHeightFormats="1" dataCaption="Valores" updatedVersion="8" minRefreshableVersion="3" useAutoFormatting="1" itemPrintTitles="1" createdVersion="6" indent="0" compact="0" compactData="0" multipleFieldFilters="0">
  <location ref="A8:B13" firstHeaderRow="1" firstDataRow="1" firstDataCol="2"/>
  <pivotFields count="23">
    <pivotField compact="0" outline="0" showAll="0"/>
    <pivotField compact="0" outline="0" showAll="0" defaultSubtotal="0"/>
    <pivotField compact="0" numFmtId="4" outline="0" showAll="0" defaultSubtotal="0"/>
    <pivotField compact="0" outline="0" showAll="0" defaultSubtotal="0"/>
    <pivotField axis="axisRow" compact="0" outline="0" showAll="0" defaultSubtotal="0">
      <items count="17">
        <item m="1" x="4"/>
        <item m="1" x="12"/>
        <item m="1" x="6"/>
        <item m="1" x="2"/>
        <item m="1" x="16"/>
        <item m="1" x="13"/>
        <item m="1" x="3"/>
        <item m="1" x="1"/>
        <item m="1" x="7"/>
        <item m="1" x="5"/>
        <item m="1" x="14"/>
        <item m="1" x="11"/>
        <item m="1" x="10"/>
        <item m="1" x="15"/>
        <item x="0"/>
        <item m="1" x="8"/>
        <item m="1" x="9"/>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63">
        <item m="1" x="31"/>
        <item m="1" x="56"/>
        <item x="9"/>
        <item m="1" x="32"/>
        <item x="7"/>
        <item m="1" x="23"/>
        <item m="1" x="47"/>
        <item m="1" x="40"/>
        <item m="1" x="21"/>
        <item x="18"/>
        <item m="1" x="20"/>
        <item m="1" x="33"/>
        <item m="1" x="60"/>
        <item m="1" x="62"/>
        <item m="1" x="41"/>
        <item m="1" x="25"/>
        <item m="1" x="52"/>
        <item x="13"/>
        <item m="1" x="30"/>
        <item x="0"/>
        <item m="1" x="36"/>
        <item m="1" x="39"/>
        <item m="1" x="35"/>
        <item m="1" x="42"/>
        <item m="1" x="58"/>
        <item m="1" x="46"/>
        <item m="1" x="37"/>
        <item m="1" x="61"/>
        <item m="1" x="48"/>
        <item m="1" x="38"/>
        <item m="1" x="28"/>
        <item m="1" x="54"/>
        <item m="1" x="53"/>
        <item m="1" x="59"/>
        <item m="1" x="19"/>
        <item m="1" x="55"/>
        <item m="1" x="22"/>
        <item m="1" x="45"/>
        <item m="1" x="26"/>
        <item m="1" x="27"/>
        <item m="1" x="24"/>
        <item m="1" x="34"/>
        <item m="1" x="49"/>
        <item m="1" x="50"/>
        <item m="1" x="44"/>
        <item m="1" x="51"/>
        <item m="1" x="29"/>
        <item m="1" x="57"/>
        <item m="1" x="43"/>
        <item x="1"/>
        <item x="3"/>
        <item x="4"/>
        <item x="5"/>
        <item x="6"/>
        <item x="8"/>
        <item x="10"/>
        <item x="11"/>
        <item x="12"/>
        <item x="14"/>
        <item x="2"/>
        <item x="15"/>
        <item x="16"/>
        <item x="17"/>
      </items>
    </pivotField>
    <pivotField compact="0" outline="0" showAll="0" defaultSubtotal="0">
      <items count="57">
        <item m="1" x="51"/>
        <item m="1" x="39"/>
        <item m="1" x="34"/>
        <item m="1" x="38"/>
        <item m="1" x="31"/>
        <item m="1" x="54"/>
        <item m="1" x="52"/>
        <item m="1" x="56"/>
        <item x="6"/>
        <item m="1" x="44"/>
        <item m="1" x="22"/>
        <item m="1" x="29"/>
        <item m="1" x="48"/>
        <item m="1" x="40"/>
        <item m="1" x="24"/>
        <item m="1" x="25"/>
        <item m="1" x="46"/>
        <item m="1" x="37"/>
        <item m="1" x="43"/>
        <item m="1" x="50"/>
        <item m="1" x="32"/>
        <item m="1" x="45"/>
        <item m="1" x="23"/>
        <item m="1" x="21"/>
        <item m="1" x="26"/>
        <item m="1" x="53"/>
        <item m="1" x="33"/>
        <item m="1" x="47"/>
        <item m="1" x="35"/>
        <item m="1" x="36"/>
        <item m="1" x="27"/>
        <item m="1" x="30"/>
        <item m="1" x="49"/>
        <item m="1" x="41"/>
        <item m="1" x="55"/>
        <item m="1" x="28"/>
        <item m="1" x="42"/>
        <item x="0"/>
        <item x="20"/>
        <item x="2"/>
        <item x="3"/>
        <item x="4"/>
        <item x="5"/>
        <item x="7"/>
        <item x="8"/>
        <item x="9"/>
        <item x="10"/>
        <item x="1"/>
        <item x="12"/>
        <item x="13"/>
        <item x="15"/>
        <item x="16"/>
        <item x="17"/>
        <item x="11"/>
        <item x="19"/>
        <item x="18"/>
        <item x="14"/>
      </items>
    </pivotField>
    <pivotField compact="0" outline="0" showAll="0"/>
    <pivotField compact="0" outline="0" showAll="0" defaultSubtotal="0"/>
    <pivotField compact="0" outline="0" showAll="0" defaultSubtotal="0"/>
    <pivotField compact="0" outline="0" showAll="0" defaultSubtotal="0"/>
    <pivotField axis="axisRow" compact="0" outline="0" showAll="0" defaultSubtotal="0">
      <items count="5">
        <item x="3"/>
        <item x="0"/>
        <item m="1" x="4"/>
        <item x="2"/>
        <item x="1"/>
      </items>
    </pivotField>
    <pivotField compact="0" outline="0" showAll="0" defaultSubtotal="0"/>
    <pivotField compact="0" outline="0" showAll="0" defaultSubtotal="0"/>
    <pivotField compact="0" outline="0" showAll="0"/>
    <pivotField compact="0" outline="0" showAll="0" defaultSubtotal="0"/>
    <pivotField compact="0" outline="0" showAll="0" defaultSubtotal="0"/>
  </pivotFields>
  <rowFields count="2">
    <field x="4"/>
    <field x="17"/>
  </rowFields>
  <rowItems count="5">
    <i>
      <x v="14"/>
      <x/>
    </i>
    <i r="1">
      <x v="1"/>
    </i>
    <i r="1">
      <x v="3"/>
    </i>
    <i r="1">
      <x v="4"/>
    </i>
    <i t="grand">
      <x/>
    </i>
  </rowItems>
  <colItems count="1">
    <i/>
  </colItems>
  <formats count="36">
    <format dxfId="110">
      <pivotArea outline="0" collapsedLevelsAreSubtotals="1" fieldPosition="0"/>
    </format>
    <format dxfId="109">
      <pivotArea type="all" dataOnly="0" outline="0" fieldPosition="0"/>
    </format>
    <format dxfId="108">
      <pivotArea outline="0" collapsedLevelsAreSubtotals="1" fieldPosition="0"/>
    </format>
    <format dxfId="107">
      <pivotArea field="11" type="button" dataOnly="0" labelOnly="1" outline="0"/>
    </format>
    <format dxfId="106">
      <pivotArea field="12" type="button" dataOnly="0" labelOnly="1" outline="0"/>
    </format>
    <format dxfId="105">
      <pivotArea dataOnly="0" labelOnly="1" outline="0" axis="axisValues" fieldPosition="0"/>
    </format>
    <format dxfId="104">
      <pivotArea dataOnly="0" labelOnly="1" grandRow="1" outline="0" fieldPosition="0"/>
    </format>
    <format dxfId="103">
      <pivotArea dataOnly="0" labelOnly="1" outline="0" axis="axisValues" fieldPosition="0"/>
    </format>
    <format dxfId="102">
      <pivotArea type="all" dataOnly="0" outline="0" fieldPosition="0"/>
    </format>
    <format dxfId="101">
      <pivotArea outline="0" collapsedLevelsAreSubtotals="1" fieldPosition="0"/>
    </format>
    <format dxfId="100">
      <pivotArea field="11" type="button" dataOnly="0" labelOnly="1" outline="0"/>
    </format>
    <format dxfId="99">
      <pivotArea field="12" type="button" dataOnly="0" labelOnly="1" outline="0"/>
    </format>
    <format dxfId="98">
      <pivotArea dataOnly="0" labelOnly="1" outline="0" axis="axisValues" fieldPosition="0"/>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11" type="button" dataOnly="0" labelOnly="1" outline="0"/>
    </format>
    <format dxfId="92">
      <pivotArea field="12" type="button" dataOnly="0" labelOnly="1" outline="0"/>
    </format>
    <format dxfId="91">
      <pivotArea dataOnly="0" labelOnly="1" outline="0" axis="axisValues" fieldPosition="0"/>
    </format>
    <format dxfId="90">
      <pivotArea dataOnly="0" labelOnly="1" grandRow="1" outline="0" fieldPosition="0"/>
    </format>
    <format dxfId="89">
      <pivotArea dataOnly="0" labelOnly="1" outline="0" axis="axisValues" fieldPosition="0"/>
    </format>
    <format dxfId="88">
      <pivotArea type="all" dataOnly="0" outline="0" fieldPosition="0"/>
    </format>
    <format dxfId="87">
      <pivotArea outline="0" collapsedLevelsAreSubtotals="1" fieldPosition="0"/>
    </format>
    <format dxfId="86">
      <pivotArea field="11" type="button" dataOnly="0" labelOnly="1" outline="0"/>
    </format>
    <format dxfId="85">
      <pivotArea field="12" type="button" dataOnly="0" labelOnly="1" outline="0"/>
    </format>
    <format dxfId="84">
      <pivotArea dataOnly="0" labelOnly="1" outline="0" axis="axisValues" fieldPosition="0"/>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11" type="button" dataOnly="0" labelOnly="1" outline="0"/>
    </format>
    <format dxfId="78">
      <pivotArea field="12" type="button" dataOnly="0" labelOnly="1" outline="0"/>
    </format>
    <format dxfId="77">
      <pivotArea dataOnly="0" labelOnly="1" outline="0" axis="axisValues" fieldPosition="0"/>
    </format>
    <format dxfId="76">
      <pivotArea dataOnly="0" labelOnly="1" grandRow="1" outline="0" fieldPosition="0"/>
    </format>
    <format dxfId="75">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TablaDinámica3" cacheId="0" applyNumberFormats="0" applyBorderFormats="0" applyFontFormats="0" applyPatternFormats="0" applyAlignmentFormats="0" applyWidthHeightFormats="1" dataCaption="Valores" updatedVersion="8" minRefreshableVersion="3" useAutoFormatting="1" itemPrintTitles="1" createdVersion="6" indent="0" outline="1" outlineData="1" multipleFieldFilters="0" chartFormat="1">
  <location ref="I8:I20" firstHeaderRow="1" firstDataRow="1" firstDataCol="1" rowPageCount="1" colPageCount="1"/>
  <pivotFields count="23">
    <pivotField showAll="0"/>
    <pivotField showAll="0"/>
    <pivotField numFmtId="4" showAll="0"/>
    <pivotField showAll="0"/>
    <pivotField axis="axisPage" showAll="0">
      <items count="18">
        <item m="1" x="4"/>
        <item m="1" x="12"/>
        <item m="1" x="6"/>
        <item m="1" x="2"/>
        <item m="1" x="16"/>
        <item m="1" x="13"/>
        <item m="1" x="3"/>
        <item m="1" x="8"/>
        <item m="1" x="9"/>
        <item m="1" x="1"/>
        <item m="1" x="7"/>
        <item m="1" x="5"/>
        <item m="1" x="14"/>
        <item m="1" x="11"/>
        <item m="1" x="10"/>
        <item m="1" x="1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m="1" x="4"/>
        <item x="3"/>
        <item x="2"/>
        <item x="1"/>
        <item t="default"/>
      </items>
    </pivotField>
    <pivotField axis="axisRow" showAll="0">
      <items count="8">
        <item sd="0" x="0"/>
        <item sd="0" m="1" x="6"/>
        <item sd="0" x="4"/>
        <item sd="0" m="1" x="5"/>
        <item sd="0" x="1"/>
        <item x="3"/>
        <item x="2"/>
        <item t="default" sd="0"/>
      </items>
    </pivotField>
    <pivotField showAll="0"/>
    <pivotField showAll="0"/>
    <pivotField showAll="0"/>
    <pivotField showAll="0"/>
  </pivotFields>
  <rowFields count="2">
    <field x="17"/>
    <field x="18"/>
  </rowFields>
  <rowItems count="12">
    <i>
      <x/>
    </i>
    <i r="1">
      <x/>
    </i>
    <i r="1">
      <x v="4"/>
    </i>
    <i>
      <x v="2"/>
    </i>
    <i r="1">
      <x v="4"/>
    </i>
    <i>
      <x v="3"/>
    </i>
    <i r="1">
      <x v="2"/>
    </i>
    <i r="1">
      <x v="4"/>
    </i>
    <i r="1">
      <x v="5"/>
    </i>
    <i>
      <x v="4"/>
    </i>
    <i r="1">
      <x v="6"/>
    </i>
    <i t="grand">
      <x/>
    </i>
  </rowItems>
  <colItems count="1">
    <i/>
  </colItems>
  <pageFields count="1">
    <pageField fld="4" hier="-1"/>
  </page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ablaDinámica1" cacheId="0" applyNumberFormats="0" applyBorderFormats="0" applyFontFormats="0" applyPatternFormats="0" applyAlignmentFormats="0" applyWidthHeightFormats="1" dataCaption="Valores" updatedVersion="8" minRefreshableVersion="3" useAutoFormatting="1" itemPrintTitles="1" createdVersion="6" indent="0" compact="0" compactData="0" multipleFieldFilters="0">
  <location ref="A7:F13" firstHeaderRow="1" firstDataRow="1" firstDataCol="5"/>
  <pivotFields count="23">
    <pivotField compact="0" outline="0" showAll="0"/>
    <pivotField compact="0" outline="0" showAll="0"/>
    <pivotField dataField="1" compact="0" numFmtId="4" outline="0" showAll="0"/>
    <pivotField compact="0" outline="0" showAll="0"/>
    <pivotField axis="axisRow" compact="0" outline="0" showAll="0">
      <items count="18">
        <item m="1" x="4"/>
        <item m="1" x="12"/>
        <item m="1" x="6"/>
        <item m="1" x="2"/>
        <item m="1" x="16"/>
        <item m="1" x="13"/>
        <item m="1" x="3"/>
        <item m="1" x="1"/>
        <item m="1" x="7"/>
        <item m="1" x="5"/>
        <item m="1" x="14"/>
        <item m="1" x="11"/>
        <item m="1" x="10"/>
        <item m="1" x="15"/>
        <item x="0"/>
        <item m="1" x="8"/>
        <item m="1" x="9"/>
        <item t="default"/>
      </items>
    </pivotField>
    <pivotField axis="axisRow" compact="0" outline="0" showAll="0">
      <items count="4">
        <item x="0"/>
        <item m="1" x="1"/>
        <item m="1" x="2"/>
        <item t="default"/>
      </items>
    </pivotField>
    <pivotField axis="axisRow" compact="0" outline="0" showAll="0">
      <items count="6">
        <item x="0"/>
        <item m="1" x="4"/>
        <item m="1" x="3"/>
        <item m="1" x="2"/>
        <item m="1" x="1"/>
        <item t="default"/>
      </items>
    </pivotField>
    <pivotField axis="axisRow" compact="0" outline="0" showAll="0">
      <items count="10">
        <item x="0"/>
        <item m="1" x="6"/>
        <item m="1" x="5"/>
        <item m="1" x="2"/>
        <item m="1" x="7"/>
        <item m="1" x="3"/>
        <item m="1" x="8"/>
        <item m="1" x="4"/>
        <item m="1" x="1"/>
        <item t="default"/>
      </items>
    </pivotField>
    <pivotField axis="axisRow" compact="0" outline="0" showAll="0">
      <items count="22">
        <item x="0"/>
        <item m="1" x="7"/>
        <item m="1" x="8"/>
        <item m="1" x="9"/>
        <item m="1" x="10"/>
        <item m="1" x="12"/>
        <item m="1" x="13"/>
        <item m="1" x="14"/>
        <item m="1" x="16"/>
        <item m="1" x="17"/>
        <item m="1" x="18"/>
        <item m="1" x="15"/>
        <item m="1" x="11"/>
        <item m="1" x="6"/>
        <item m="1" x="5"/>
        <item m="1" x="4"/>
        <item m="1" x="3"/>
        <item m="1" x="2"/>
        <item m="1" x="1"/>
        <item m="1" x="20"/>
        <item m="1" x="19"/>
        <item t="default"/>
      </items>
    </pivotField>
    <pivotField compact="0" outline="0" showAll="0"/>
    <pivotField compact="0" outline="0" showAll="0"/>
    <pivotField compact="0" outline="0" showAll="0">
      <items count="64">
        <item m="1" x="31"/>
        <item m="1" x="56"/>
        <item x="9"/>
        <item m="1" x="32"/>
        <item x="7"/>
        <item m="1" x="23"/>
        <item m="1" x="47"/>
        <item m="1" x="40"/>
        <item m="1" x="21"/>
        <item x="18"/>
        <item m="1" x="20"/>
        <item m="1" x="33"/>
        <item m="1" x="60"/>
        <item m="1" x="62"/>
        <item m="1" x="41"/>
        <item m="1" x="25"/>
        <item m="1" x="52"/>
        <item x="13"/>
        <item m="1" x="30"/>
        <item x="0"/>
        <item m="1" x="36"/>
        <item m="1" x="39"/>
        <item m="1" x="35"/>
        <item m="1" x="42"/>
        <item m="1" x="58"/>
        <item m="1" x="46"/>
        <item m="1" x="37"/>
        <item m="1" x="61"/>
        <item m="1" x="48"/>
        <item m="1" x="38"/>
        <item m="1" x="28"/>
        <item m="1" x="54"/>
        <item m="1" x="53"/>
        <item m="1" x="59"/>
        <item m="1" x="19"/>
        <item m="1" x="55"/>
        <item m="1" x="22"/>
        <item m="1" x="45"/>
        <item m="1" x="26"/>
        <item m="1" x="27"/>
        <item m="1" x="24"/>
        <item m="1" x="34"/>
        <item m="1" x="49"/>
        <item m="1" x="50"/>
        <item m="1" x="44"/>
        <item m="1" x="51"/>
        <item m="1" x="29"/>
        <item m="1" x="57"/>
        <item m="1" x="43"/>
        <item x="1"/>
        <item x="3"/>
        <item x="4"/>
        <item x="5"/>
        <item x="6"/>
        <item x="8"/>
        <item x="10"/>
        <item x="11"/>
        <item x="12"/>
        <item x="14"/>
        <item x="2"/>
        <item x="15"/>
        <item x="16"/>
        <item x="17"/>
        <item t="default"/>
      </items>
    </pivotField>
    <pivotField compact="0" outline="0" showAll="0">
      <items count="58">
        <item m="1" x="51"/>
        <item m="1" x="39"/>
        <item m="1" x="34"/>
        <item m="1" x="38"/>
        <item m="1" x="31"/>
        <item m="1" x="54"/>
        <item m="1" x="52"/>
        <item m="1" x="56"/>
        <item x="6"/>
        <item m="1" x="44"/>
        <item m="1" x="22"/>
        <item m="1" x="29"/>
        <item m="1" x="48"/>
        <item m="1" x="40"/>
        <item m="1" x="24"/>
        <item m="1" x="25"/>
        <item m="1" x="46"/>
        <item m="1" x="37"/>
        <item m="1" x="43"/>
        <item m="1" x="50"/>
        <item m="1" x="32"/>
        <item m="1" x="45"/>
        <item m="1" x="23"/>
        <item m="1" x="21"/>
        <item m="1" x="26"/>
        <item m="1" x="53"/>
        <item m="1" x="33"/>
        <item m="1" x="47"/>
        <item m="1" x="35"/>
        <item m="1" x="36"/>
        <item m="1" x="27"/>
        <item m="1" x="30"/>
        <item m="1" x="49"/>
        <item m="1" x="41"/>
        <item m="1" x="55"/>
        <item m="1" x="28"/>
        <item m="1" x="42"/>
        <item x="0"/>
        <item x="20"/>
        <item x="2"/>
        <item x="3"/>
        <item x="4"/>
        <item x="5"/>
        <item x="7"/>
        <item x="8"/>
        <item x="9"/>
        <item x="10"/>
        <item x="1"/>
        <item x="12"/>
        <item x="13"/>
        <item x="15"/>
        <item x="16"/>
        <item x="17"/>
        <item x="11"/>
        <item x="19"/>
        <item x="18"/>
        <item x="1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5">
    <field x="4"/>
    <field x="5"/>
    <field x="6"/>
    <field x="7"/>
    <field x="8"/>
  </rowFields>
  <rowItems count="6">
    <i>
      <x v="14"/>
      <x/>
      <x/>
      <x/>
      <x/>
    </i>
    <i t="default" r="3">
      <x/>
    </i>
    <i t="default" r="2">
      <x/>
    </i>
    <i t="default" r="1">
      <x/>
    </i>
    <i t="default">
      <x v="14"/>
    </i>
    <i t="grand">
      <x/>
    </i>
  </rowItems>
  <colItems count="1">
    <i/>
  </colItems>
  <dataFields count="1">
    <dataField name="Suma de Tiempo Estimado (Hrs.)" fld="2" baseField="0" baseItem="0" numFmtId="2"/>
  </dataFields>
  <formats count="36">
    <format dxfId="38">
      <pivotArea outline="0" collapsedLevelsAreSubtotals="1" fieldPosition="0"/>
    </format>
    <format dxfId="37">
      <pivotArea type="all" dataOnly="0" outline="0" fieldPosition="0"/>
    </format>
    <format dxfId="36">
      <pivotArea outline="0" collapsedLevelsAreSubtotals="1" fieldPosition="0"/>
    </format>
    <format dxfId="35">
      <pivotArea field="11" type="button" dataOnly="0" labelOnly="1" outline="0"/>
    </format>
    <format dxfId="34">
      <pivotArea field="12" type="button" dataOnly="0" labelOnly="1" outline="0"/>
    </format>
    <format dxfId="33">
      <pivotArea dataOnly="0" labelOnly="1" outline="0" axis="axisValues" fieldPosition="0"/>
    </format>
    <format dxfId="32">
      <pivotArea dataOnly="0" labelOnly="1" grandRow="1" outline="0" fieldPosition="0"/>
    </format>
    <format dxfId="31">
      <pivotArea dataOnly="0" labelOnly="1" outline="0" axis="axisValues" fieldPosition="0"/>
    </format>
    <format dxfId="30">
      <pivotArea type="all" dataOnly="0" outline="0" fieldPosition="0"/>
    </format>
    <format dxfId="29">
      <pivotArea outline="0" collapsedLevelsAreSubtotals="1" fieldPosition="0"/>
    </format>
    <format dxfId="28">
      <pivotArea field="11" type="button" dataOnly="0" labelOnly="1" outline="0"/>
    </format>
    <format dxfId="27">
      <pivotArea field="12" type="button" dataOnly="0" labelOnly="1" outline="0"/>
    </format>
    <format dxfId="26">
      <pivotArea dataOnly="0" labelOnly="1" outline="0" axis="axisValues" fieldPosition="0"/>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1" type="button" dataOnly="0" labelOnly="1" outline="0"/>
    </format>
    <format dxfId="20">
      <pivotArea field="12" type="button" dataOnly="0" labelOnly="1" outline="0"/>
    </format>
    <format dxfId="19">
      <pivotArea dataOnly="0" labelOnly="1" outline="0" axis="axisValues" fieldPosition="0"/>
    </format>
    <format dxfId="18">
      <pivotArea dataOnly="0" labelOnly="1" grandRow="1" outline="0"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11" type="button" dataOnly="0" labelOnly="1" outline="0"/>
    </format>
    <format dxfId="13">
      <pivotArea field="12" type="button" dataOnly="0" labelOnly="1" outline="0"/>
    </format>
    <format dxfId="12">
      <pivotArea dataOnly="0" labelOnly="1" outline="0" axis="axisValues" fieldPosition="0"/>
    </format>
    <format dxfId="11">
      <pivotArea dataOnly="0" labelOnly="1" grandRow="1" outline="0" fieldPosition="0"/>
    </format>
    <format dxfId="10">
      <pivotArea dataOnly="0" labelOnly="1" outline="0" axis="axisValues" fieldPosition="0"/>
    </format>
    <format dxfId="9">
      <pivotArea type="all" dataOnly="0" outline="0" fieldPosition="0"/>
    </format>
    <format dxfId="8">
      <pivotArea outline="0" collapsedLevelsAreSubtotals="1" fieldPosition="0"/>
    </format>
    <format dxfId="7">
      <pivotArea field="11" type="button" dataOnly="0" labelOnly="1" outline="0"/>
    </format>
    <format dxfId="6">
      <pivotArea field="12" type="button" dataOnly="0" labelOnly="1" outline="0"/>
    </format>
    <format dxfId="5">
      <pivotArea dataOnly="0" labelOnly="1" outline="0" axis="axisValues" fieldPosition="0"/>
    </format>
    <format dxfId="4">
      <pivotArea dataOnly="0" labelOnly="1" grandRow="1" outline="0" fieldPosition="0"/>
    </format>
    <format dxfId="3">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3" displayName="Table13" ref="A7:W150" totalsRowCount="1" headerRowDxfId="176" dataDxfId="175" totalsRowDxfId="174">
  <autoFilter ref="A7:W149" xr:uid="{00000000-0009-0000-0100-000002000000}"/>
  <tableColumns count="23">
    <tableColumn id="3" xr3:uid="{F7FD7BA9-6818-4D19-8095-FA01C53A4D24}" name="ID" dataDxfId="173" totalsRowDxfId="172"/>
    <tableColumn id="16" xr3:uid="{00000000-0010-0000-0000-000010000000}" name="Fecha Estimada" dataDxfId="171" totalsRowDxfId="170"/>
    <tableColumn id="22" xr3:uid="{00000000-0010-0000-0000-000016000000}" name="Tiempo Estimado (Hrs.)" totalsRowFunction="custom" dataDxfId="169" totalsRowDxfId="168">
      <totalsRowFormula>SUM(Table13[Tiempo Estimado (Hrs.)])</totalsRowFormula>
    </tableColumn>
    <tableColumn id="2" xr3:uid="{00000000-0010-0000-0000-000002000000}" name="Módulo Principal" dataDxfId="167" totalsRowDxfId="166"/>
    <tableColumn id="15" xr3:uid="{00000000-0010-0000-0000-00000F000000}" name="Flujo" dataDxfId="165" totalsRowDxfId="164"/>
    <tableColumn id="5" xr3:uid="{00000000-0010-0000-0000-000005000000}" name="L1 - Categoría" dataDxfId="163" totalsRowDxfId="162"/>
    <tableColumn id="8" xr3:uid="{00000000-0010-0000-0000-000008000000}" name="L2 - Grupo de Procesos" dataDxfId="161" totalsRowDxfId="160"/>
    <tableColumn id="13" xr3:uid="{00000000-0010-0000-0000-00000D000000}" name="L3 - Proceso" dataDxfId="159" totalsRowDxfId="158"/>
    <tableColumn id="9" xr3:uid="{00000000-0010-0000-0000-000009000000}" name="L4 - Actividadad" dataDxfId="157" totalsRowDxfId="156"/>
    <tableColumn id="17" xr3:uid="{00000000-0010-0000-0000-000011000000}" name="Nombre de la Prueba" dataDxfId="155" totalsRowDxfId="154"/>
    <tableColumn id="12" xr3:uid="{00000000-0010-0000-0000-00000C000000}" name="Descripción de  la Prueba" dataDxfId="153" totalsRowDxfId="152"/>
    <tableColumn id="19" xr3:uid="{00000000-0010-0000-0000-000013000000}" name="Departamento / Área" dataDxfId="151" totalsRowDxfId="150"/>
    <tableColumn id="11" xr3:uid="{00000000-0010-0000-0000-00000B000000}" name="Usuario(s) a Ejecutar la Prueba" dataDxfId="149" totalsRowDxfId="148"/>
    <tableColumn id="6" xr3:uid="{0A388324-DA4B-485D-8CDF-C3C761B142D4}" name="Duración Minutos" totalsRowFunction="custom" dataDxfId="147" totalsRowDxfId="146">
      <totalsRowFormula>SUM(N8:N149)</totalsRowFormula>
    </tableColumn>
    <tableColumn id="23" xr3:uid="{00000000-0010-0000-0000-000017000000}" name="Consultor Responsable" dataDxfId="145" totalsRowDxfId="144"/>
    <tableColumn id="28" xr3:uid="{00000000-0010-0000-0000-00001C000000}" name="Fecha Real" dataDxfId="143" totalsRowDxfId="142"/>
    <tableColumn id="27" xr3:uid="{00000000-0010-0000-0000-00001B000000}" name="Tiempo Real (Hrs.)" totalsRowFunction="custom" dataDxfId="141" totalsRowDxfId="140">
      <totalsRowFormula>SUM(Table13[Tiempo Real (Hrs.)])</totalsRowFormula>
    </tableColumn>
    <tableColumn id="24" xr3:uid="{00000000-0010-0000-0000-000018000000}" name="Estatus" dataDxfId="139" totalsRowDxfId="138"/>
    <tableColumn id="25" xr3:uid="{00000000-0010-0000-0000-000019000000}" name="Repercusión" dataDxfId="137" totalsRowDxfId="136"/>
    <tableColumn id="26" xr3:uid="{00000000-0010-0000-0000-00001A000000}" name="Resultado obtenido" dataDxfId="135" totalsRowDxfId="134"/>
    <tableColumn id="1" xr3:uid="{72527B27-6547-4791-8E59-EA8967AF3A48}" name="Responsable pendiente" dataDxfId="133" totalsRowDxfId="132"/>
    <tableColumn id="4" xr3:uid="{00000000-0010-0000-0000-000004000000}" name="Observaciones GCG" dataDxfId="131" totalsRowDxfId="130"/>
    <tableColumn id="14" xr3:uid="{00000000-0010-0000-0000-00000E000000}" name="Observaciones Cliente" dataDxfId="129" totalsRowDxfId="1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AD8C895-374B-497F-8A35-6BE785CF6E76}" name="Tabla7" displayName="Tabla7" ref="A6:K12" totalsRowShown="0" headerRowDxfId="189" dataDxfId="187" headerRowBorderDxfId="188" tableBorderDxfId="186" totalsRowBorderDxfId="185">
  <autoFilter ref="A6:K12" xr:uid="{0AD8C895-374B-497F-8A35-6BE785CF6E76}"/>
  <tableColumns count="11">
    <tableColumn id="1" xr3:uid="{D7223B98-B863-48E7-97E6-E6D56769DD1B}" name="ID" dataDxfId="184"/>
    <tableColumn id="12" xr3:uid="{2512A86E-C2D6-4222-BDF4-61430036BDE5}" name="# Req." dataDxfId="183"/>
    <tableColumn id="2" xr3:uid="{7F6844E7-5681-45D1-856D-F94C1D255AA7}" name="Nombre del DDF" dataDxfId="182"/>
    <tableColumn id="3" xr3:uid="{011131D3-3036-4726-B51D-82C61FF2BC92}" name="Hito" dataDxfId="181"/>
    <tableColumn id="4" xr3:uid="{E8464336-A297-4DA9-A256-95D3EC274A8D}" name="Nombre de prueba" dataDxfId="2"/>
    <tableColumn id="5" xr3:uid="{B3EA666C-3576-4221-88C7-234F680FE579}" name="Ruta o Formulario" dataDxfId="0"/>
    <tableColumn id="6" xr3:uid="{1F280D67-0285-441B-B2A7-59426299FE2A}" name="Descripcion de la prueba" dataDxfId="1"/>
    <tableColumn id="7" xr3:uid="{E8AC063B-AC30-41D2-88C8-E8679553805F}" name="Responsables" dataDxfId="180"/>
    <tableColumn id="9" xr3:uid="{548A0420-9328-474B-8893-6379213519F0}" name="Resultado Obtenido" dataDxfId="179"/>
    <tableColumn id="10" xr3:uid="{813D2609-075F-482B-A8BE-4BC66B07E343}" name="Notas" dataDxfId="178"/>
    <tableColumn id="11" xr3:uid="{F945E709-41EC-42BC-96FD-8A1C9093E975}" name="Ruta de Ambiente" dataDxfId="177"/>
  </tableColumns>
  <tableStyleInfo name="TableStyleMedium1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6:W831"/>
  <sheetViews>
    <sheetView showGridLines="0" topLeftCell="C1" zoomScale="90" zoomScaleNormal="90" zoomScaleSheetLayoutView="50" workbookViewId="0">
      <pane ySplit="7" topLeftCell="A8" activePane="bottomLeft" state="frozen"/>
      <selection activeCell="M10" sqref="M10"/>
      <selection pane="bottomLeft" activeCell="M10" sqref="M10"/>
    </sheetView>
  </sheetViews>
  <sheetFormatPr baseColWidth="10" defaultColWidth="9.140625" defaultRowHeight="15" customHeight="1" x14ac:dyDescent="0.25"/>
  <cols>
    <col min="1" max="1" width="8.140625" style="3" customWidth="1"/>
    <col min="2" max="2" width="17.140625" style="3" customWidth="1"/>
    <col min="3" max="3" width="24.140625" style="3" customWidth="1"/>
    <col min="4" max="4" width="27.140625" style="3" bestFit="1" customWidth="1"/>
    <col min="5" max="5" width="8.5703125" style="3" customWidth="1"/>
    <col min="6" max="8" width="26.140625" style="3" hidden="1" customWidth="1"/>
    <col min="9" max="9" width="15.42578125" style="3" customWidth="1"/>
    <col min="10" max="10" width="35.5703125" style="3" customWidth="1"/>
    <col min="11" max="11" width="48.140625" style="3" customWidth="1"/>
    <col min="12" max="12" width="25.140625" style="3" customWidth="1"/>
    <col min="13" max="13" width="11.42578125" style="3" customWidth="1"/>
    <col min="14" max="14" width="15.85546875" style="3" customWidth="1"/>
    <col min="15" max="15" width="15.5703125" style="3" customWidth="1"/>
    <col min="16" max="16" width="29.85546875" style="3" hidden="1" customWidth="1"/>
    <col min="17" max="17" width="19.85546875" style="3" hidden="1" customWidth="1"/>
    <col min="18" max="18" width="10.42578125" style="3" bestFit="1" customWidth="1"/>
    <col min="19" max="19" width="16" style="3" customWidth="1"/>
    <col min="20" max="20" width="48.140625" style="3" customWidth="1"/>
    <col min="21" max="21" width="21.85546875" style="3" customWidth="1"/>
    <col min="22" max="22" width="50" style="3" customWidth="1"/>
    <col min="23" max="23" width="57.85546875" style="3" customWidth="1"/>
    <col min="24" max="24" width="56.85546875" style="3" customWidth="1"/>
    <col min="25" max="25" width="9.140625" style="3"/>
    <col min="26" max="26" width="9.140625" style="3" customWidth="1"/>
    <col min="27" max="16384" width="9.140625" style="3"/>
  </cols>
  <sheetData>
    <row r="6" spans="1:23" ht="20.25" customHeight="1" x14ac:dyDescent="0.25">
      <c r="A6" s="104"/>
      <c r="B6" s="104"/>
      <c r="C6" s="104"/>
      <c r="D6" s="104"/>
      <c r="E6" s="104"/>
      <c r="F6" s="104"/>
      <c r="G6" s="104"/>
      <c r="H6" s="104"/>
      <c r="I6" s="104"/>
      <c r="J6" s="104"/>
      <c r="K6" s="104"/>
      <c r="L6" s="104"/>
      <c r="M6" s="104"/>
      <c r="N6" s="104"/>
      <c r="O6" s="104"/>
      <c r="P6" s="104"/>
      <c r="Q6" s="104"/>
      <c r="R6" s="104"/>
      <c r="S6" s="104"/>
      <c r="T6" s="104"/>
      <c r="U6" s="104"/>
      <c r="V6" s="104"/>
      <c r="W6" s="104"/>
    </row>
    <row r="7" spans="1:23" ht="45" x14ac:dyDescent="0.25">
      <c r="A7" s="17" t="s">
        <v>0</v>
      </c>
      <c r="B7" s="17" t="s">
        <v>1</v>
      </c>
      <c r="C7" s="17" t="s">
        <v>2</v>
      </c>
      <c r="D7" s="17" t="s">
        <v>3</v>
      </c>
      <c r="E7" s="17" t="s">
        <v>4</v>
      </c>
      <c r="F7" s="18" t="s">
        <v>5</v>
      </c>
      <c r="G7" s="18" t="s">
        <v>6</v>
      </c>
      <c r="H7" s="18" t="s">
        <v>7</v>
      </c>
      <c r="I7" s="17" t="s">
        <v>8</v>
      </c>
      <c r="J7" s="17" t="s">
        <v>9</v>
      </c>
      <c r="K7" s="17" t="s">
        <v>10</v>
      </c>
      <c r="L7" s="17" t="s">
        <v>11</v>
      </c>
      <c r="M7" s="17" t="s">
        <v>12</v>
      </c>
      <c r="N7" s="17" t="s">
        <v>13</v>
      </c>
      <c r="O7" s="17" t="s">
        <v>14</v>
      </c>
      <c r="P7" s="17" t="s">
        <v>15</v>
      </c>
      <c r="Q7" s="17" t="s">
        <v>16</v>
      </c>
      <c r="R7" s="17" t="s">
        <v>17</v>
      </c>
      <c r="S7" s="17" t="s">
        <v>18</v>
      </c>
      <c r="T7" s="17" t="s">
        <v>19</v>
      </c>
      <c r="U7" s="17" t="s">
        <v>20</v>
      </c>
      <c r="V7" s="17" t="s">
        <v>21</v>
      </c>
      <c r="W7" s="17" t="s">
        <v>22</v>
      </c>
    </row>
    <row r="8" spans="1:23" x14ac:dyDescent="0.25">
      <c r="A8" s="17">
        <v>1</v>
      </c>
      <c r="B8" s="17"/>
      <c r="C8" s="17"/>
      <c r="D8" s="17" t="s">
        <v>23</v>
      </c>
      <c r="E8" s="17"/>
      <c r="F8" s="18"/>
      <c r="G8" s="18"/>
      <c r="H8" s="18"/>
      <c r="I8" s="17"/>
      <c r="J8" s="3" t="s">
        <v>24</v>
      </c>
      <c r="K8" s="3" t="s">
        <v>25</v>
      </c>
      <c r="L8" s="17" t="s">
        <v>26</v>
      </c>
      <c r="M8" s="17" t="s">
        <v>27</v>
      </c>
      <c r="N8" s="4">
        <v>5</v>
      </c>
      <c r="O8" s="17" t="s">
        <v>28</v>
      </c>
      <c r="P8" s="17"/>
      <c r="Q8" s="17"/>
      <c r="R8" s="17" t="s">
        <v>29</v>
      </c>
      <c r="S8" s="17" t="s">
        <v>30</v>
      </c>
      <c r="T8" s="17" t="s">
        <v>31</v>
      </c>
      <c r="U8" s="17"/>
      <c r="V8" s="17"/>
      <c r="W8" s="17"/>
    </row>
    <row r="9" spans="1:23" ht="90" x14ac:dyDescent="0.25">
      <c r="A9" s="17">
        <v>2</v>
      </c>
      <c r="B9" s="17"/>
      <c r="C9" s="17"/>
      <c r="D9" s="17" t="s">
        <v>23</v>
      </c>
      <c r="E9" s="17"/>
      <c r="F9" s="18"/>
      <c r="G9" s="18"/>
      <c r="H9" s="18"/>
      <c r="I9" s="17"/>
      <c r="J9" s="3" t="s">
        <v>32</v>
      </c>
      <c r="K9" s="3" t="s">
        <v>32</v>
      </c>
      <c r="L9" s="17" t="s">
        <v>26</v>
      </c>
      <c r="M9" s="17" t="s">
        <v>27</v>
      </c>
      <c r="N9" s="4">
        <v>30</v>
      </c>
      <c r="O9" s="3" t="s">
        <v>28</v>
      </c>
      <c r="P9" s="17"/>
      <c r="Q9" s="17"/>
      <c r="R9" s="17" t="s">
        <v>29</v>
      </c>
      <c r="S9" s="17" t="s">
        <v>30</v>
      </c>
      <c r="T9" s="17" t="s">
        <v>31</v>
      </c>
      <c r="U9" s="17"/>
      <c r="V9" s="17"/>
      <c r="W9" s="17" t="s">
        <v>33</v>
      </c>
    </row>
    <row r="10" spans="1:23" ht="30" x14ac:dyDescent="0.25">
      <c r="A10" s="17">
        <v>3</v>
      </c>
      <c r="B10" s="17"/>
      <c r="C10" s="17"/>
      <c r="D10" s="17" t="s">
        <v>23</v>
      </c>
      <c r="E10" s="17"/>
      <c r="F10" s="18"/>
      <c r="G10" s="18"/>
      <c r="H10" s="18"/>
      <c r="I10" s="17"/>
      <c r="J10" s="3" t="s">
        <v>34</v>
      </c>
      <c r="K10" s="3" t="s">
        <v>35</v>
      </c>
      <c r="L10" s="17" t="s">
        <v>36</v>
      </c>
      <c r="M10" s="17" t="s">
        <v>27</v>
      </c>
      <c r="N10" s="4">
        <v>5</v>
      </c>
      <c r="O10" s="3" t="s">
        <v>28</v>
      </c>
      <c r="P10" s="17"/>
      <c r="Q10" s="17"/>
      <c r="R10" s="17" t="s">
        <v>29</v>
      </c>
      <c r="S10" s="17" t="s">
        <v>30</v>
      </c>
      <c r="T10" s="17" t="s">
        <v>31</v>
      </c>
      <c r="U10" s="17"/>
      <c r="V10" s="17"/>
      <c r="W10" s="17" t="s">
        <v>37</v>
      </c>
    </row>
    <row r="11" spans="1:23" ht="25.5" x14ac:dyDescent="0.2">
      <c r="A11" s="17">
        <v>87</v>
      </c>
      <c r="B11" s="2"/>
      <c r="C11" s="5"/>
      <c r="D11" s="1" t="s">
        <v>38</v>
      </c>
      <c r="E11" s="1"/>
      <c r="F11" s="1"/>
      <c r="G11" s="1"/>
      <c r="H11" s="1"/>
      <c r="I11" s="1"/>
      <c r="J11" s="80" t="s">
        <v>39</v>
      </c>
      <c r="K11" s="84" t="s">
        <v>40</v>
      </c>
      <c r="L11" s="84" t="s">
        <v>41</v>
      </c>
      <c r="M11" s="84" t="s">
        <v>42</v>
      </c>
      <c r="N11" s="15">
        <v>10</v>
      </c>
      <c r="O11" s="1" t="s">
        <v>43</v>
      </c>
      <c r="P11" s="2"/>
      <c r="Q11" s="5"/>
      <c r="R11" s="1" t="s">
        <v>29</v>
      </c>
      <c r="S11" s="1"/>
      <c r="T11" s="1" t="s">
        <v>31</v>
      </c>
      <c r="U11" s="1"/>
      <c r="V11" s="1"/>
      <c r="W11" s="1"/>
    </row>
    <row r="12" spans="1:23" ht="45" customHeight="1" x14ac:dyDescent="0.2">
      <c r="A12" s="17">
        <v>88</v>
      </c>
      <c r="B12" s="2"/>
      <c r="C12" s="5"/>
      <c r="D12" s="1" t="s">
        <v>38</v>
      </c>
      <c r="E12" s="1"/>
      <c r="F12" s="1"/>
      <c r="G12" s="1"/>
      <c r="H12" s="1"/>
      <c r="I12" s="1"/>
      <c r="J12" s="80" t="s">
        <v>44</v>
      </c>
      <c r="K12" s="85" t="s">
        <v>45</v>
      </c>
      <c r="L12" s="85" t="s">
        <v>41</v>
      </c>
      <c r="M12" s="85" t="s">
        <v>42</v>
      </c>
      <c r="N12" s="15">
        <v>10</v>
      </c>
      <c r="O12" s="1" t="s">
        <v>43</v>
      </c>
      <c r="P12" s="2"/>
      <c r="Q12" s="5"/>
      <c r="R12" s="1" t="s">
        <v>29</v>
      </c>
      <c r="S12" s="1"/>
      <c r="T12" s="1" t="s">
        <v>31</v>
      </c>
      <c r="U12" s="1"/>
      <c r="V12" s="1"/>
      <c r="W12" s="1"/>
    </row>
    <row r="13" spans="1:23" x14ac:dyDescent="0.25">
      <c r="A13" s="17">
        <v>6</v>
      </c>
      <c r="B13" s="17"/>
      <c r="C13" s="17"/>
      <c r="D13" s="3" t="s">
        <v>46</v>
      </c>
      <c r="E13" s="17"/>
      <c r="F13" s="18"/>
      <c r="G13" s="18"/>
      <c r="H13" s="18"/>
      <c r="I13" s="17"/>
      <c r="J13" s="3" t="s">
        <v>47</v>
      </c>
      <c r="K13" s="17" t="s">
        <v>48</v>
      </c>
      <c r="L13" s="17" t="s">
        <v>49</v>
      </c>
      <c r="M13" s="17" t="s">
        <v>50</v>
      </c>
      <c r="N13" s="4">
        <v>60</v>
      </c>
      <c r="O13" s="17"/>
      <c r="P13" s="17"/>
      <c r="Q13" s="17"/>
      <c r="R13" s="17" t="s">
        <v>29</v>
      </c>
      <c r="S13" s="17" t="s">
        <v>30</v>
      </c>
      <c r="T13" s="17" t="s">
        <v>31</v>
      </c>
      <c r="U13" s="17"/>
      <c r="V13" s="17"/>
      <c r="W13" s="17"/>
    </row>
    <row r="14" spans="1:23" ht="45" x14ac:dyDescent="0.25">
      <c r="A14" s="17">
        <v>7</v>
      </c>
      <c r="B14" s="19"/>
      <c r="C14" s="20"/>
      <c r="D14" s="3" t="s">
        <v>51</v>
      </c>
      <c r="J14" s="3" t="s">
        <v>52</v>
      </c>
      <c r="K14" s="3" t="s">
        <v>53</v>
      </c>
      <c r="L14" s="3" t="s">
        <v>54</v>
      </c>
      <c r="M14" s="3" t="s">
        <v>55</v>
      </c>
      <c r="N14" s="4">
        <v>20</v>
      </c>
      <c r="O14" s="3" t="s">
        <v>28</v>
      </c>
      <c r="P14" s="19"/>
      <c r="Q14" s="20"/>
      <c r="R14" s="3" t="s">
        <v>29</v>
      </c>
      <c r="S14" s="3" t="s">
        <v>30</v>
      </c>
      <c r="T14" s="17" t="s">
        <v>31</v>
      </c>
      <c r="U14" s="17"/>
    </row>
    <row r="15" spans="1:23" ht="45" x14ac:dyDescent="0.25">
      <c r="A15" s="17">
        <v>8</v>
      </c>
      <c r="B15" s="19"/>
      <c r="C15" s="20"/>
      <c r="D15" s="3" t="s">
        <v>51</v>
      </c>
      <c r="J15" s="3" t="s">
        <v>56</v>
      </c>
      <c r="K15" s="3" t="s">
        <v>57</v>
      </c>
      <c r="L15" s="3" t="s">
        <v>54</v>
      </c>
      <c r="M15" s="3" t="s">
        <v>55</v>
      </c>
      <c r="N15" s="4">
        <v>20</v>
      </c>
      <c r="O15" s="3" t="s">
        <v>28</v>
      </c>
      <c r="P15" s="19"/>
      <c r="Q15" s="20"/>
      <c r="R15" s="3" t="s">
        <v>29</v>
      </c>
      <c r="S15" s="3" t="s">
        <v>30</v>
      </c>
      <c r="T15" s="17" t="s">
        <v>31</v>
      </c>
      <c r="U15" s="17"/>
    </row>
    <row r="16" spans="1:23" ht="42.75" customHeight="1" x14ac:dyDescent="0.25">
      <c r="A16" s="17">
        <v>9</v>
      </c>
      <c r="B16" s="19"/>
      <c r="C16" s="20"/>
      <c r="D16" s="3" t="s">
        <v>58</v>
      </c>
      <c r="J16" s="3" t="s">
        <v>59</v>
      </c>
      <c r="L16" s="3" t="s">
        <v>60</v>
      </c>
      <c r="M16" s="3" t="s">
        <v>61</v>
      </c>
      <c r="N16" s="4">
        <v>15</v>
      </c>
      <c r="O16" s="3" t="s">
        <v>62</v>
      </c>
      <c r="P16" s="19"/>
      <c r="Q16" s="20"/>
      <c r="R16" s="3" t="s">
        <v>29</v>
      </c>
      <c r="S16" s="3" t="s">
        <v>30</v>
      </c>
      <c r="T16" s="3" t="s">
        <v>31</v>
      </c>
      <c r="W16" s="3" t="s">
        <v>63</v>
      </c>
    </row>
    <row r="17" spans="1:23" ht="30" customHeight="1" x14ac:dyDescent="0.25">
      <c r="A17" s="17">
        <v>10</v>
      </c>
      <c r="B17" s="19"/>
      <c r="C17" s="20"/>
      <c r="D17" s="3" t="s">
        <v>58</v>
      </c>
      <c r="J17" s="3" t="s">
        <v>64</v>
      </c>
      <c r="L17" s="3" t="s">
        <v>65</v>
      </c>
      <c r="M17" s="3" t="s">
        <v>66</v>
      </c>
      <c r="N17" s="4">
        <v>5</v>
      </c>
      <c r="O17" s="3" t="s">
        <v>62</v>
      </c>
      <c r="P17" s="19"/>
      <c r="Q17" s="20"/>
      <c r="R17" s="3" t="s">
        <v>29</v>
      </c>
      <c r="S17" s="3" t="s">
        <v>30</v>
      </c>
      <c r="T17" s="3" t="s">
        <v>31</v>
      </c>
      <c r="W17" s="3" t="s">
        <v>67</v>
      </c>
    </row>
    <row r="18" spans="1:23" ht="30" customHeight="1" x14ac:dyDescent="0.25">
      <c r="A18" s="17">
        <v>11</v>
      </c>
      <c r="B18" s="19"/>
      <c r="C18" s="20"/>
      <c r="D18" s="3" t="s">
        <v>68</v>
      </c>
      <c r="J18" s="3" t="s">
        <v>69</v>
      </c>
      <c r="L18" s="3" t="s">
        <v>70</v>
      </c>
      <c r="M18" s="3" t="s">
        <v>66</v>
      </c>
      <c r="N18" s="4">
        <v>5</v>
      </c>
      <c r="O18" s="3" t="s">
        <v>62</v>
      </c>
      <c r="P18" s="19"/>
      <c r="Q18" s="20"/>
      <c r="R18" s="3" t="s">
        <v>29</v>
      </c>
      <c r="S18" s="3" t="s">
        <v>30</v>
      </c>
      <c r="T18" s="3" t="s">
        <v>31</v>
      </c>
      <c r="W18" s="3" t="s">
        <v>71</v>
      </c>
    </row>
    <row r="19" spans="1:23" ht="30" customHeight="1" x14ac:dyDescent="0.25">
      <c r="A19" s="17">
        <v>12</v>
      </c>
      <c r="B19" s="2"/>
      <c r="C19" s="5"/>
      <c r="D19" s="3" t="s">
        <v>68</v>
      </c>
      <c r="E19" s="1"/>
      <c r="F19" s="1"/>
      <c r="G19" s="1"/>
      <c r="H19" s="1"/>
      <c r="I19" s="1"/>
      <c r="J19" s="1" t="s">
        <v>72</v>
      </c>
      <c r="K19" s="1"/>
      <c r="L19" s="3" t="s">
        <v>70</v>
      </c>
      <c r="M19" s="3" t="s">
        <v>66</v>
      </c>
      <c r="N19" s="15">
        <v>20</v>
      </c>
      <c r="O19" s="3" t="s">
        <v>62</v>
      </c>
      <c r="P19" s="2"/>
      <c r="Q19" s="5"/>
      <c r="R19" s="1" t="s">
        <v>29</v>
      </c>
      <c r="S19" s="3" t="s">
        <v>30</v>
      </c>
      <c r="T19" s="3" t="s">
        <v>31</v>
      </c>
      <c r="V19" s="1" t="s">
        <v>73</v>
      </c>
      <c r="W19" s="1"/>
    </row>
    <row r="20" spans="1:23" ht="29.25" customHeight="1" x14ac:dyDescent="0.25">
      <c r="A20" s="17">
        <v>13</v>
      </c>
      <c r="B20" s="19"/>
      <c r="C20" s="20"/>
      <c r="D20" s="3" t="s">
        <v>68</v>
      </c>
      <c r="J20" s="3" t="s">
        <v>74</v>
      </c>
      <c r="L20" s="3" t="s">
        <v>70</v>
      </c>
      <c r="M20" s="3" t="s">
        <v>66</v>
      </c>
      <c r="N20" s="4">
        <v>15</v>
      </c>
      <c r="O20" s="3" t="s">
        <v>62</v>
      </c>
      <c r="P20" s="19"/>
      <c r="Q20" s="20"/>
      <c r="R20" s="3" t="s">
        <v>29</v>
      </c>
      <c r="S20" s="3" t="s">
        <v>30</v>
      </c>
      <c r="T20" s="3" t="s">
        <v>31</v>
      </c>
      <c r="W20" s="86" t="s">
        <v>75</v>
      </c>
    </row>
    <row r="21" spans="1:23" ht="21" customHeight="1" x14ac:dyDescent="0.25">
      <c r="A21" s="17">
        <v>14</v>
      </c>
      <c r="B21" s="19"/>
      <c r="C21" s="20"/>
      <c r="D21" s="3" t="s">
        <v>23</v>
      </c>
      <c r="J21" s="3" t="s">
        <v>76</v>
      </c>
      <c r="K21" s="3" t="s">
        <v>77</v>
      </c>
      <c r="L21" s="3" t="s">
        <v>26</v>
      </c>
      <c r="M21" s="3" t="s">
        <v>27</v>
      </c>
      <c r="N21" s="4">
        <v>15</v>
      </c>
      <c r="O21" s="3" t="s">
        <v>28</v>
      </c>
      <c r="P21" s="19"/>
      <c r="Q21" s="20"/>
      <c r="R21" s="3" t="s">
        <v>29</v>
      </c>
      <c r="S21" s="3" t="s">
        <v>30</v>
      </c>
      <c r="T21" s="3" t="s">
        <v>31</v>
      </c>
    </row>
    <row r="22" spans="1:23" ht="45" customHeight="1" x14ac:dyDescent="0.25">
      <c r="A22" s="17">
        <v>15</v>
      </c>
      <c r="B22" s="19"/>
      <c r="C22" s="20"/>
      <c r="D22" s="3" t="s">
        <v>68</v>
      </c>
      <c r="J22" s="3" t="s">
        <v>78</v>
      </c>
      <c r="L22" s="3" t="s">
        <v>70</v>
      </c>
      <c r="M22" s="3" t="s">
        <v>66</v>
      </c>
      <c r="N22" s="4">
        <v>15</v>
      </c>
      <c r="O22" s="3" t="s">
        <v>62</v>
      </c>
      <c r="P22" s="19"/>
      <c r="Q22" s="20"/>
      <c r="R22" s="3" t="s">
        <v>29</v>
      </c>
      <c r="S22" s="3" t="s">
        <v>30</v>
      </c>
      <c r="T22" s="3" t="s">
        <v>31</v>
      </c>
    </row>
    <row r="23" spans="1:23" s="36" customFormat="1" ht="45" customHeight="1" x14ac:dyDescent="0.25">
      <c r="A23" s="61">
        <v>16</v>
      </c>
      <c r="B23" s="62"/>
      <c r="C23" s="63"/>
      <c r="D23" s="36" t="s">
        <v>68</v>
      </c>
      <c r="J23" s="36" t="s">
        <v>79</v>
      </c>
      <c r="L23" s="36" t="s">
        <v>70</v>
      </c>
      <c r="M23" s="36" t="s">
        <v>66</v>
      </c>
      <c r="N23" s="64">
        <v>15</v>
      </c>
      <c r="O23" s="36" t="s">
        <v>62</v>
      </c>
      <c r="P23" s="62"/>
      <c r="Q23" s="63"/>
      <c r="R23" s="36" t="s">
        <v>29</v>
      </c>
      <c r="S23" s="36" t="s">
        <v>30</v>
      </c>
      <c r="T23" s="36" t="s">
        <v>31</v>
      </c>
      <c r="V23" s="36" t="s">
        <v>80</v>
      </c>
    </row>
    <row r="24" spans="1:23" s="26" customFormat="1" ht="45" customHeight="1" x14ac:dyDescent="0.25">
      <c r="A24" s="17">
        <v>17</v>
      </c>
      <c r="B24" s="24"/>
      <c r="C24" s="25"/>
      <c r="D24" s="26" t="s">
        <v>68</v>
      </c>
      <c r="J24" s="26" t="s">
        <v>81</v>
      </c>
      <c r="L24" s="26" t="s">
        <v>70</v>
      </c>
      <c r="M24" s="26" t="s">
        <v>66</v>
      </c>
      <c r="N24" s="28">
        <v>30</v>
      </c>
      <c r="O24" s="26" t="s">
        <v>62</v>
      </c>
      <c r="P24" s="24"/>
      <c r="Q24" s="25"/>
      <c r="R24" s="26" t="s">
        <v>82</v>
      </c>
      <c r="S24" s="26" t="s">
        <v>83</v>
      </c>
    </row>
    <row r="25" spans="1:23" ht="45" customHeight="1" x14ac:dyDescent="0.25">
      <c r="A25" s="17">
        <v>18</v>
      </c>
      <c r="B25" s="19"/>
      <c r="C25" s="20"/>
      <c r="D25" s="3" t="s">
        <v>84</v>
      </c>
      <c r="J25" s="3" t="s">
        <v>85</v>
      </c>
      <c r="L25" s="3" t="s">
        <v>86</v>
      </c>
      <c r="N25" s="4">
        <v>10</v>
      </c>
      <c r="O25" s="3" t="s">
        <v>62</v>
      </c>
      <c r="P25" s="19"/>
      <c r="Q25" s="20"/>
      <c r="R25" s="3" t="s">
        <v>87</v>
      </c>
      <c r="S25" s="3" t="s">
        <v>87</v>
      </c>
      <c r="U25" s="3" t="s">
        <v>88</v>
      </c>
      <c r="V25" s="3" t="s">
        <v>89</v>
      </c>
      <c r="W25" s="3" t="s">
        <v>90</v>
      </c>
    </row>
    <row r="26" spans="1:23" ht="45" customHeight="1" x14ac:dyDescent="0.25">
      <c r="A26" s="17">
        <v>19</v>
      </c>
      <c r="B26" s="19"/>
      <c r="C26" s="20"/>
      <c r="D26" s="3" t="s">
        <v>84</v>
      </c>
      <c r="J26" s="3" t="s">
        <v>91</v>
      </c>
      <c r="L26" s="3" t="s">
        <v>86</v>
      </c>
      <c r="N26" s="4">
        <v>10</v>
      </c>
      <c r="O26" s="3" t="s">
        <v>62</v>
      </c>
      <c r="P26" s="19"/>
      <c r="Q26" s="20"/>
      <c r="R26" s="3" t="s">
        <v>87</v>
      </c>
      <c r="S26" s="3" t="s">
        <v>87</v>
      </c>
      <c r="U26" s="3" t="s">
        <v>88</v>
      </c>
      <c r="V26" s="3" t="s">
        <v>89</v>
      </c>
    </row>
    <row r="27" spans="1:23" ht="45" customHeight="1" x14ac:dyDescent="0.25">
      <c r="A27" s="17">
        <v>20</v>
      </c>
      <c r="B27" s="19"/>
      <c r="C27" s="20"/>
      <c r="D27" s="3" t="s">
        <v>84</v>
      </c>
      <c r="J27" s="3" t="s">
        <v>92</v>
      </c>
      <c r="L27" s="3" t="s">
        <v>86</v>
      </c>
      <c r="N27" s="4">
        <v>10</v>
      </c>
      <c r="O27" s="3" t="s">
        <v>62</v>
      </c>
      <c r="P27" s="19"/>
      <c r="Q27" s="20"/>
      <c r="R27" s="3" t="s">
        <v>87</v>
      </c>
      <c r="S27" s="3" t="s">
        <v>87</v>
      </c>
      <c r="U27" s="3" t="s">
        <v>88</v>
      </c>
      <c r="V27" s="3" t="s">
        <v>89</v>
      </c>
    </row>
    <row r="28" spans="1:23" ht="30" customHeight="1" x14ac:dyDescent="0.25">
      <c r="A28" s="17">
        <v>21</v>
      </c>
      <c r="B28" s="19"/>
      <c r="C28" s="20"/>
      <c r="D28" s="3" t="s">
        <v>84</v>
      </c>
      <c r="J28" s="3" t="s">
        <v>93</v>
      </c>
      <c r="K28" s="3" t="s">
        <v>94</v>
      </c>
      <c r="L28" s="3" t="s">
        <v>70</v>
      </c>
      <c r="M28" s="3" t="s">
        <v>66</v>
      </c>
      <c r="N28" s="4">
        <v>25</v>
      </c>
      <c r="O28" s="3" t="s">
        <v>62</v>
      </c>
      <c r="P28" s="19"/>
      <c r="Q28" s="20"/>
      <c r="R28" s="3" t="s">
        <v>29</v>
      </c>
      <c r="S28" s="3" t="s">
        <v>30</v>
      </c>
      <c r="T28" s="3" t="s">
        <v>31</v>
      </c>
    </row>
    <row r="29" spans="1:23" ht="30" x14ac:dyDescent="0.25">
      <c r="A29" s="17">
        <v>22</v>
      </c>
      <c r="B29" s="19"/>
      <c r="C29" s="20"/>
      <c r="D29" s="3" t="s">
        <v>68</v>
      </c>
      <c r="J29" s="3" t="s">
        <v>95</v>
      </c>
      <c r="K29" s="3" t="s">
        <v>96</v>
      </c>
      <c r="L29" s="3" t="s">
        <v>70</v>
      </c>
      <c r="M29" s="3" t="s">
        <v>66</v>
      </c>
      <c r="N29" s="4">
        <v>5</v>
      </c>
      <c r="O29" s="3" t="s">
        <v>62</v>
      </c>
      <c r="P29" s="19"/>
      <c r="Q29" s="20"/>
      <c r="R29" s="3" t="s">
        <v>29</v>
      </c>
      <c r="S29" s="3" t="s">
        <v>30</v>
      </c>
      <c r="T29" s="3" t="s">
        <v>31</v>
      </c>
    </row>
    <row r="30" spans="1:23" ht="45" customHeight="1" x14ac:dyDescent="0.25">
      <c r="A30" s="17">
        <v>23</v>
      </c>
      <c r="B30" s="19"/>
      <c r="C30" s="20"/>
      <c r="D30" s="3" t="s">
        <v>68</v>
      </c>
      <c r="J30" s="36" t="s">
        <v>97</v>
      </c>
      <c r="K30" s="3" t="s">
        <v>96</v>
      </c>
      <c r="L30" s="3" t="s">
        <v>70</v>
      </c>
      <c r="M30" s="3" t="s">
        <v>66</v>
      </c>
      <c r="N30" s="4">
        <v>10</v>
      </c>
      <c r="O30" s="3" t="s">
        <v>62</v>
      </c>
      <c r="P30" s="19"/>
      <c r="Q30" s="20"/>
      <c r="R30" s="3" t="s">
        <v>29</v>
      </c>
      <c r="S30" s="3" t="s">
        <v>30</v>
      </c>
      <c r="T30" s="3" t="s">
        <v>31</v>
      </c>
    </row>
    <row r="31" spans="1:23" ht="30" x14ac:dyDescent="0.25">
      <c r="A31" s="17">
        <v>24</v>
      </c>
      <c r="B31" s="19"/>
      <c r="C31" s="20"/>
      <c r="D31" s="3" t="s">
        <v>68</v>
      </c>
      <c r="J31" s="3" t="s">
        <v>98</v>
      </c>
      <c r="K31" s="3" t="s">
        <v>96</v>
      </c>
      <c r="L31" s="3" t="s">
        <v>70</v>
      </c>
      <c r="M31" s="3" t="s">
        <v>66</v>
      </c>
      <c r="N31" s="4">
        <v>10</v>
      </c>
      <c r="O31" s="3" t="s">
        <v>62</v>
      </c>
      <c r="P31" s="19"/>
      <c r="Q31" s="20"/>
      <c r="R31" s="3" t="s">
        <v>29</v>
      </c>
      <c r="S31" s="3" t="s">
        <v>30</v>
      </c>
      <c r="T31" s="3" t="s">
        <v>31</v>
      </c>
    </row>
    <row r="32" spans="1:23" ht="30" x14ac:dyDescent="0.25">
      <c r="A32" s="17">
        <v>25</v>
      </c>
      <c r="B32" s="19"/>
      <c r="C32" s="20"/>
      <c r="D32" s="3" t="s">
        <v>68</v>
      </c>
      <c r="J32" s="3" t="s">
        <v>99</v>
      </c>
      <c r="K32" s="3" t="s">
        <v>96</v>
      </c>
      <c r="L32" s="3" t="s">
        <v>70</v>
      </c>
      <c r="M32" s="3" t="s">
        <v>66</v>
      </c>
      <c r="N32" s="4">
        <v>10</v>
      </c>
      <c r="O32" s="3" t="s">
        <v>62</v>
      </c>
      <c r="P32" s="19"/>
      <c r="Q32" s="20"/>
      <c r="R32" s="3" t="s">
        <v>29</v>
      </c>
      <c r="S32" s="3" t="s">
        <v>30</v>
      </c>
      <c r="T32" s="3" t="s">
        <v>31</v>
      </c>
      <c r="W32" s="3" t="s">
        <v>100</v>
      </c>
    </row>
    <row r="33" spans="1:23" ht="30" x14ac:dyDescent="0.25">
      <c r="A33" s="17">
        <v>26</v>
      </c>
      <c r="B33" s="19"/>
      <c r="C33" s="20"/>
      <c r="D33" s="3" t="s">
        <v>101</v>
      </c>
      <c r="J33" s="3" t="s">
        <v>93</v>
      </c>
      <c r="K33" s="3" t="s">
        <v>94</v>
      </c>
      <c r="L33" s="3" t="s">
        <v>86</v>
      </c>
      <c r="N33" s="4">
        <v>25</v>
      </c>
      <c r="O33" s="3" t="s">
        <v>62</v>
      </c>
      <c r="P33" s="19"/>
      <c r="Q33" s="20"/>
      <c r="R33" s="3" t="s">
        <v>29</v>
      </c>
      <c r="S33" s="3" t="s">
        <v>30</v>
      </c>
      <c r="T33" s="3" t="s">
        <v>31</v>
      </c>
    </row>
    <row r="34" spans="1:23" ht="30" x14ac:dyDescent="0.25">
      <c r="A34" s="17">
        <v>27</v>
      </c>
      <c r="B34" s="19"/>
      <c r="C34" s="20"/>
      <c r="D34" s="3" t="s">
        <v>68</v>
      </c>
      <c r="J34" s="3" t="s">
        <v>102</v>
      </c>
      <c r="K34" s="3" t="s">
        <v>103</v>
      </c>
      <c r="L34" s="3" t="s">
        <v>70</v>
      </c>
      <c r="M34" s="3" t="s">
        <v>66</v>
      </c>
      <c r="N34" s="4">
        <v>5</v>
      </c>
      <c r="O34" s="3" t="s">
        <v>62</v>
      </c>
      <c r="P34" s="19"/>
      <c r="Q34" s="20"/>
      <c r="R34" s="3" t="s">
        <v>29</v>
      </c>
      <c r="S34" s="3" t="s">
        <v>30</v>
      </c>
      <c r="T34" s="3" t="s">
        <v>31</v>
      </c>
    </row>
    <row r="35" spans="1:23" ht="30" x14ac:dyDescent="0.25">
      <c r="A35" s="17">
        <v>28</v>
      </c>
      <c r="B35" s="19"/>
      <c r="C35" s="20"/>
      <c r="D35" s="3" t="s">
        <v>68</v>
      </c>
      <c r="J35" s="3" t="s">
        <v>104</v>
      </c>
      <c r="K35" s="3" t="s">
        <v>103</v>
      </c>
      <c r="L35" s="3" t="s">
        <v>70</v>
      </c>
      <c r="M35" s="3" t="s">
        <v>66</v>
      </c>
      <c r="N35" s="4">
        <v>10</v>
      </c>
      <c r="O35" s="3" t="s">
        <v>62</v>
      </c>
      <c r="P35" s="19"/>
      <c r="Q35" s="20"/>
      <c r="R35" s="3" t="s">
        <v>29</v>
      </c>
      <c r="S35" s="3" t="s">
        <v>30</v>
      </c>
      <c r="T35" s="3" t="s">
        <v>31</v>
      </c>
      <c r="W35" s="3" t="s">
        <v>100</v>
      </c>
    </row>
    <row r="36" spans="1:23" ht="30" x14ac:dyDescent="0.25">
      <c r="A36" s="17">
        <v>29</v>
      </c>
      <c r="B36" s="19"/>
      <c r="C36" s="20"/>
      <c r="D36" s="3" t="s">
        <v>68</v>
      </c>
      <c r="J36" s="3" t="s">
        <v>105</v>
      </c>
      <c r="K36" s="3" t="s">
        <v>103</v>
      </c>
      <c r="L36" s="3" t="s">
        <v>70</v>
      </c>
      <c r="M36" s="3" t="s">
        <v>66</v>
      </c>
      <c r="N36" s="4">
        <v>10</v>
      </c>
      <c r="O36" s="3" t="s">
        <v>62</v>
      </c>
      <c r="P36" s="19"/>
      <c r="Q36" s="20"/>
      <c r="R36" s="3" t="s">
        <v>29</v>
      </c>
      <c r="S36" s="3" t="s">
        <v>30</v>
      </c>
      <c r="T36" s="3" t="s">
        <v>31</v>
      </c>
    </row>
    <row r="37" spans="1:23" ht="30" x14ac:dyDescent="0.25">
      <c r="A37" s="17">
        <v>30</v>
      </c>
      <c r="B37" s="19"/>
      <c r="C37" s="20"/>
      <c r="D37" s="3" t="s">
        <v>101</v>
      </c>
      <c r="J37" s="3" t="s">
        <v>106</v>
      </c>
      <c r="L37" s="3" t="s">
        <v>86</v>
      </c>
      <c r="N37" s="4">
        <v>10</v>
      </c>
      <c r="O37" s="3" t="s">
        <v>62</v>
      </c>
      <c r="P37" s="19"/>
      <c r="Q37" s="20"/>
      <c r="R37" s="3" t="s">
        <v>87</v>
      </c>
      <c r="S37" s="3" t="s">
        <v>87</v>
      </c>
      <c r="U37" s="3" t="s">
        <v>88</v>
      </c>
      <c r="V37" s="3" t="s">
        <v>89</v>
      </c>
    </row>
    <row r="38" spans="1:23" ht="30" x14ac:dyDescent="0.25">
      <c r="A38" s="17">
        <v>31</v>
      </c>
      <c r="B38" s="19"/>
      <c r="C38" s="20"/>
      <c r="D38" s="3" t="s">
        <v>68</v>
      </c>
      <c r="J38" s="3" t="s">
        <v>107</v>
      </c>
      <c r="L38" s="3" t="s">
        <v>70</v>
      </c>
      <c r="M38" s="3" t="s">
        <v>66</v>
      </c>
      <c r="N38" s="4">
        <v>15</v>
      </c>
      <c r="O38" s="3" t="s">
        <v>62</v>
      </c>
      <c r="P38" s="19"/>
      <c r="Q38" s="20"/>
      <c r="R38" s="3" t="s">
        <v>29</v>
      </c>
      <c r="S38" s="3" t="s">
        <v>30</v>
      </c>
      <c r="T38" s="3" t="s">
        <v>31</v>
      </c>
    </row>
    <row r="39" spans="1:23" s="36" customFormat="1" ht="30" x14ac:dyDescent="0.25">
      <c r="A39" s="61">
        <v>32</v>
      </c>
      <c r="B39" s="62"/>
      <c r="C39" s="63"/>
      <c r="D39" s="36" t="s">
        <v>68</v>
      </c>
      <c r="J39" s="36" t="s">
        <v>108</v>
      </c>
      <c r="L39" s="36" t="s">
        <v>70</v>
      </c>
      <c r="M39" s="36" t="s">
        <v>66</v>
      </c>
      <c r="N39" s="64">
        <v>15</v>
      </c>
      <c r="O39" s="36" t="s">
        <v>62</v>
      </c>
      <c r="P39" s="62"/>
      <c r="Q39" s="63"/>
      <c r="R39" s="36" t="s">
        <v>29</v>
      </c>
      <c r="S39" s="36" t="s">
        <v>30</v>
      </c>
      <c r="T39" s="36" t="s">
        <v>31</v>
      </c>
      <c r="V39" s="36" t="s">
        <v>109</v>
      </c>
    </row>
    <row r="40" spans="1:23" ht="30" x14ac:dyDescent="0.25">
      <c r="A40" s="17">
        <v>33</v>
      </c>
      <c r="B40" s="19"/>
      <c r="C40" s="20"/>
      <c r="D40" s="3" t="s">
        <v>101</v>
      </c>
      <c r="J40" s="3" t="s">
        <v>85</v>
      </c>
      <c r="L40" s="3" t="s">
        <v>86</v>
      </c>
      <c r="N40" s="4">
        <v>10</v>
      </c>
      <c r="O40" s="3" t="s">
        <v>62</v>
      </c>
      <c r="P40" s="19"/>
      <c r="Q40" s="20"/>
      <c r="R40" s="3" t="s">
        <v>87</v>
      </c>
      <c r="S40" s="3" t="s">
        <v>87</v>
      </c>
      <c r="U40" s="3" t="s">
        <v>88</v>
      </c>
      <c r="V40" s="3" t="s">
        <v>89</v>
      </c>
    </row>
    <row r="41" spans="1:23" ht="30" x14ac:dyDescent="0.25">
      <c r="A41" s="17">
        <v>34</v>
      </c>
      <c r="B41" s="19"/>
      <c r="C41" s="20"/>
      <c r="D41" s="3" t="s">
        <v>101</v>
      </c>
      <c r="J41" s="3" t="s">
        <v>91</v>
      </c>
      <c r="L41" s="3" t="s">
        <v>86</v>
      </c>
      <c r="N41" s="4">
        <v>10</v>
      </c>
      <c r="O41" s="3" t="s">
        <v>62</v>
      </c>
      <c r="P41" s="19"/>
      <c r="Q41" s="20"/>
      <c r="R41" s="3" t="s">
        <v>87</v>
      </c>
      <c r="S41" s="3" t="s">
        <v>87</v>
      </c>
      <c r="U41" s="3" t="s">
        <v>88</v>
      </c>
      <c r="V41" s="3" t="s">
        <v>89</v>
      </c>
    </row>
    <row r="42" spans="1:23" ht="30" x14ac:dyDescent="0.25">
      <c r="A42" s="17">
        <v>35</v>
      </c>
      <c r="B42" s="19"/>
      <c r="C42" s="20"/>
      <c r="D42" s="3" t="s">
        <v>101</v>
      </c>
      <c r="J42" s="3" t="s">
        <v>110</v>
      </c>
      <c r="L42" s="3" t="s">
        <v>86</v>
      </c>
      <c r="N42" s="4">
        <v>10</v>
      </c>
      <c r="O42" s="3" t="s">
        <v>62</v>
      </c>
      <c r="P42" s="19"/>
      <c r="Q42" s="20"/>
      <c r="R42" s="3" t="s">
        <v>87</v>
      </c>
      <c r="S42" s="3" t="s">
        <v>87</v>
      </c>
      <c r="U42" s="3" t="s">
        <v>88</v>
      </c>
      <c r="V42" s="3" t="s">
        <v>89</v>
      </c>
    </row>
    <row r="43" spans="1:23" ht="30" x14ac:dyDescent="0.25">
      <c r="A43" s="17">
        <v>36</v>
      </c>
      <c r="B43" s="19"/>
      <c r="C43" s="20"/>
      <c r="D43" s="3" t="s">
        <v>101</v>
      </c>
      <c r="J43" s="3" t="s">
        <v>93</v>
      </c>
      <c r="K43" s="3" t="s">
        <v>111</v>
      </c>
      <c r="L43" s="3" t="s">
        <v>86</v>
      </c>
      <c r="N43" s="4">
        <v>10</v>
      </c>
      <c r="O43" s="3" t="s">
        <v>62</v>
      </c>
      <c r="P43" s="19"/>
      <c r="Q43" s="20"/>
      <c r="R43" s="3" t="s">
        <v>29</v>
      </c>
      <c r="S43" s="3" t="s">
        <v>30</v>
      </c>
      <c r="T43" s="3" t="s">
        <v>31</v>
      </c>
    </row>
    <row r="44" spans="1:23" ht="45" x14ac:dyDescent="0.25">
      <c r="A44" s="17">
        <v>37</v>
      </c>
      <c r="B44" s="19"/>
      <c r="C44" s="20"/>
      <c r="D44" s="3" t="s">
        <v>51</v>
      </c>
      <c r="J44" s="3" t="s">
        <v>112</v>
      </c>
      <c r="K44" s="70" t="s">
        <v>113</v>
      </c>
      <c r="L44" s="3" t="s">
        <v>54</v>
      </c>
      <c r="M44" s="3" t="s">
        <v>55</v>
      </c>
      <c r="N44" s="4">
        <v>15</v>
      </c>
      <c r="O44" s="3" t="s">
        <v>28</v>
      </c>
      <c r="P44" s="19"/>
      <c r="Q44" s="20"/>
      <c r="R44" s="3" t="s">
        <v>29</v>
      </c>
      <c r="S44" s="3" t="s">
        <v>30</v>
      </c>
      <c r="T44" s="3" t="s">
        <v>31</v>
      </c>
    </row>
    <row r="45" spans="1:23" ht="45" x14ac:dyDescent="0.25">
      <c r="A45" s="17">
        <v>38</v>
      </c>
      <c r="B45" s="19"/>
      <c r="C45" s="20"/>
      <c r="D45" s="3" t="s">
        <v>51</v>
      </c>
      <c r="J45" s="3" t="s">
        <v>114</v>
      </c>
      <c r="K45" s="70" t="s">
        <v>115</v>
      </c>
      <c r="L45" s="3" t="s">
        <v>54</v>
      </c>
      <c r="M45" s="3" t="s">
        <v>55</v>
      </c>
      <c r="N45" s="4">
        <v>15</v>
      </c>
      <c r="O45" s="3" t="s">
        <v>28</v>
      </c>
      <c r="P45" s="19"/>
      <c r="Q45" s="20"/>
      <c r="R45" s="3" t="s">
        <v>29</v>
      </c>
      <c r="S45" s="3" t="s">
        <v>30</v>
      </c>
      <c r="T45" s="3" t="s">
        <v>31</v>
      </c>
    </row>
    <row r="46" spans="1:23" ht="30" x14ac:dyDescent="0.25">
      <c r="A46" s="17">
        <v>39</v>
      </c>
      <c r="B46" s="19"/>
      <c r="C46" s="20"/>
      <c r="D46" s="3" t="s">
        <v>68</v>
      </c>
      <c r="J46" s="3" t="s">
        <v>116</v>
      </c>
      <c r="L46" s="3" t="s">
        <v>70</v>
      </c>
      <c r="M46" s="3" t="s">
        <v>66</v>
      </c>
      <c r="N46" s="4">
        <v>10</v>
      </c>
      <c r="O46" s="3" t="s">
        <v>62</v>
      </c>
      <c r="P46" s="19"/>
      <c r="Q46" s="20"/>
      <c r="R46" s="3" t="s">
        <v>29</v>
      </c>
      <c r="S46" s="3" t="s">
        <v>30</v>
      </c>
      <c r="T46" s="3" t="s">
        <v>31</v>
      </c>
      <c r="W46" s="3" t="s">
        <v>117</v>
      </c>
    </row>
    <row r="47" spans="1:23" ht="30" x14ac:dyDescent="0.25">
      <c r="A47" s="17">
        <v>40</v>
      </c>
      <c r="B47" s="19"/>
      <c r="C47" s="20"/>
      <c r="D47" s="3" t="s">
        <v>68</v>
      </c>
      <c r="J47" s="36" t="s">
        <v>118</v>
      </c>
      <c r="L47" s="3" t="s">
        <v>119</v>
      </c>
      <c r="M47" s="3" t="s">
        <v>120</v>
      </c>
      <c r="N47" s="4">
        <v>10</v>
      </c>
      <c r="O47" s="3" t="s">
        <v>62</v>
      </c>
      <c r="P47" s="19"/>
      <c r="Q47" s="20"/>
      <c r="R47" s="3" t="s">
        <v>29</v>
      </c>
      <c r="S47" s="3" t="s">
        <v>30</v>
      </c>
      <c r="T47" s="3" t="s">
        <v>31</v>
      </c>
    </row>
    <row r="48" spans="1:23" s="41" customFormat="1" x14ac:dyDescent="0.25">
      <c r="A48" s="38">
        <v>41</v>
      </c>
      <c r="B48" s="39"/>
      <c r="C48" s="40"/>
      <c r="D48" s="41" t="s">
        <v>68</v>
      </c>
      <c r="F48" s="3"/>
      <c r="G48" s="3"/>
      <c r="H48" s="3"/>
      <c r="J48" s="41" t="s">
        <v>121</v>
      </c>
      <c r="L48" s="41" t="s">
        <v>119</v>
      </c>
      <c r="M48" s="41" t="s">
        <v>122</v>
      </c>
      <c r="N48" s="42">
        <v>10</v>
      </c>
      <c r="O48" s="41" t="s">
        <v>62</v>
      </c>
      <c r="P48" s="19"/>
      <c r="Q48" s="20"/>
      <c r="R48" s="41" t="s">
        <v>29</v>
      </c>
      <c r="S48" s="41" t="s">
        <v>30</v>
      </c>
    </row>
    <row r="49" spans="1:23" ht="30" x14ac:dyDescent="0.25">
      <c r="A49" s="17">
        <v>42</v>
      </c>
      <c r="B49" s="19"/>
      <c r="C49" s="20"/>
      <c r="D49" s="3" t="s">
        <v>68</v>
      </c>
      <c r="J49" s="3" t="s">
        <v>123</v>
      </c>
      <c r="L49" s="3" t="s">
        <v>70</v>
      </c>
      <c r="M49" s="3" t="s">
        <v>66</v>
      </c>
      <c r="N49" s="4">
        <v>10</v>
      </c>
      <c r="O49" s="3" t="s">
        <v>62</v>
      </c>
      <c r="P49" s="19"/>
      <c r="Q49" s="20"/>
      <c r="R49" s="3" t="s">
        <v>29</v>
      </c>
      <c r="S49" s="3" t="s">
        <v>30</v>
      </c>
      <c r="T49" s="3" t="s">
        <v>31</v>
      </c>
    </row>
    <row r="50" spans="1:23" x14ac:dyDescent="0.25">
      <c r="A50" s="17">
        <v>43</v>
      </c>
      <c r="B50" s="19"/>
      <c r="C50" s="20"/>
      <c r="D50" s="3" t="s">
        <v>68</v>
      </c>
      <c r="J50" s="36" t="s">
        <v>124</v>
      </c>
      <c r="L50" s="3" t="s">
        <v>119</v>
      </c>
      <c r="M50" s="3" t="s">
        <v>120</v>
      </c>
      <c r="N50" s="4">
        <v>10</v>
      </c>
      <c r="O50" s="3" t="s">
        <v>62</v>
      </c>
      <c r="P50" s="19"/>
      <c r="Q50" s="20"/>
      <c r="R50" s="3" t="s">
        <v>29</v>
      </c>
      <c r="S50" s="3" t="s">
        <v>30</v>
      </c>
      <c r="T50" s="3" t="s">
        <v>31</v>
      </c>
    </row>
    <row r="51" spans="1:23" s="41" customFormat="1" x14ac:dyDescent="0.25">
      <c r="A51" s="38">
        <v>44</v>
      </c>
      <c r="B51" s="39"/>
      <c r="C51" s="40"/>
      <c r="D51" s="41" t="s">
        <v>68</v>
      </c>
      <c r="F51" s="3"/>
      <c r="G51" s="3"/>
      <c r="H51" s="3"/>
      <c r="J51" s="41" t="s">
        <v>125</v>
      </c>
      <c r="L51" s="41" t="s">
        <v>119</v>
      </c>
      <c r="M51" s="41" t="s">
        <v>122</v>
      </c>
      <c r="N51" s="42">
        <v>10</v>
      </c>
      <c r="O51" s="41" t="s">
        <v>62</v>
      </c>
      <c r="P51" s="19"/>
      <c r="Q51" s="20"/>
      <c r="R51" s="41" t="s">
        <v>29</v>
      </c>
      <c r="S51" s="41" t="s">
        <v>30</v>
      </c>
    </row>
    <row r="52" spans="1:23" ht="45" x14ac:dyDescent="0.25">
      <c r="A52" s="17">
        <v>45</v>
      </c>
      <c r="B52" s="19"/>
      <c r="C52" s="20"/>
      <c r="D52" s="3" t="s">
        <v>68</v>
      </c>
      <c r="J52" s="3" t="s">
        <v>126</v>
      </c>
      <c r="L52" s="3" t="s">
        <v>70</v>
      </c>
      <c r="M52" s="3" t="s">
        <v>66</v>
      </c>
      <c r="N52" s="4">
        <v>10</v>
      </c>
      <c r="O52" s="3" t="s">
        <v>62</v>
      </c>
      <c r="P52" s="19"/>
      <c r="Q52" s="20"/>
      <c r="R52" s="3" t="s">
        <v>29</v>
      </c>
      <c r="S52" s="3" t="s">
        <v>30</v>
      </c>
      <c r="T52" s="3" t="s">
        <v>31</v>
      </c>
      <c r="W52" s="3" t="s">
        <v>117</v>
      </c>
    </row>
    <row r="53" spans="1:23" ht="30" x14ac:dyDescent="0.25">
      <c r="A53" s="17">
        <v>46</v>
      </c>
      <c r="B53" s="19"/>
      <c r="C53" s="20"/>
      <c r="D53" s="3" t="s">
        <v>68</v>
      </c>
      <c r="J53" s="36" t="s">
        <v>127</v>
      </c>
      <c r="L53" s="3" t="s">
        <v>119</v>
      </c>
      <c r="M53" s="3" t="s">
        <v>120</v>
      </c>
      <c r="N53" s="4">
        <v>10</v>
      </c>
      <c r="O53" s="3" t="s">
        <v>62</v>
      </c>
      <c r="P53" s="19"/>
      <c r="Q53" s="20"/>
      <c r="R53" s="3" t="s">
        <v>29</v>
      </c>
      <c r="S53" s="3" t="s">
        <v>30</v>
      </c>
      <c r="T53" s="3" t="s">
        <v>31</v>
      </c>
    </row>
    <row r="54" spans="1:23" s="41" customFormat="1" ht="30" x14ac:dyDescent="0.25">
      <c r="A54" s="38">
        <v>47</v>
      </c>
      <c r="B54" s="39"/>
      <c r="C54" s="40"/>
      <c r="D54" s="41" t="s">
        <v>68</v>
      </c>
      <c r="F54" s="3"/>
      <c r="G54" s="3"/>
      <c r="H54" s="3"/>
      <c r="J54" s="41" t="s">
        <v>128</v>
      </c>
      <c r="L54" s="41" t="s">
        <v>119</v>
      </c>
      <c r="M54" s="41" t="s">
        <v>122</v>
      </c>
      <c r="N54" s="42">
        <v>10</v>
      </c>
      <c r="O54" s="41" t="s">
        <v>62</v>
      </c>
      <c r="P54" s="19"/>
      <c r="Q54" s="20"/>
      <c r="R54" s="41" t="s">
        <v>29</v>
      </c>
      <c r="S54" s="41" t="s">
        <v>30</v>
      </c>
      <c r="W54" s="65"/>
    </row>
    <row r="55" spans="1:23" s="41" customFormat="1" ht="45" x14ac:dyDescent="0.25">
      <c r="A55" s="38">
        <v>48</v>
      </c>
      <c r="B55" s="39"/>
      <c r="C55" s="40"/>
      <c r="D55" s="41" t="s">
        <v>129</v>
      </c>
      <c r="F55" s="3"/>
      <c r="G55" s="3"/>
      <c r="H55" s="3"/>
      <c r="J55" s="41" t="s">
        <v>130</v>
      </c>
      <c r="L55" s="41" t="s">
        <v>131</v>
      </c>
      <c r="M55" s="41" t="s">
        <v>132</v>
      </c>
      <c r="N55" s="42">
        <v>20</v>
      </c>
      <c r="O55" s="41" t="s">
        <v>62</v>
      </c>
      <c r="P55" s="19"/>
      <c r="Q55" s="20"/>
      <c r="R55" s="41" t="s">
        <v>87</v>
      </c>
      <c r="S55" s="41" t="s">
        <v>87</v>
      </c>
      <c r="U55" s="41" t="s">
        <v>133</v>
      </c>
      <c r="V55" s="41" t="s">
        <v>134</v>
      </c>
    </row>
    <row r="56" spans="1:23" ht="30" x14ac:dyDescent="0.25">
      <c r="A56" s="17">
        <v>49</v>
      </c>
      <c r="B56" s="19"/>
      <c r="C56" s="20"/>
      <c r="D56" s="3" t="s">
        <v>51</v>
      </c>
      <c r="J56" s="36" t="s">
        <v>135</v>
      </c>
      <c r="L56" s="3" t="s">
        <v>119</v>
      </c>
      <c r="M56" s="3" t="s">
        <v>120</v>
      </c>
      <c r="N56" s="4">
        <v>15</v>
      </c>
      <c r="O56" s="3" t="s">
        <v>62</v>
      </c>
      <c r="P56" s="19"/>
      <c r="Q56" s="20"/>
      <c r="R56" s="3" t="s">
        <v>29</v>
      </c>
      <c r="S56" s="3" t="s">
        <v>30</v>
      </c>
      <c r="T56" s="3" t="s">
        <v>31</v>
      </c>
    </row>
    <row r="57" spans="1:23" s="23" customFormat="1" ht="30" x14ac:dyDescent="0.25">
      <c r="A57" s="17">
        <v>50</v>
      </c>
      <c r="B57" s="21"/>
      <c r="C57" s="22"/>
      <c r="D57" s="23" t="s">
        <v>51</v>
      </c>
      <c r="J57" s="23" t="s">
        <v>136</v>
      </c>
      <c r="L57" s="23" t="s">
        <v>119</v>
      </c>
      <c r="M57" s="23" t="s">
        <v>122</v>
      </c>
      <c r="N57" s="27"/>
      <c r="O57" s="23" t="s">
        <v>62</v>
      </c>
      <c r="P57" s="21"/>
      <c r="Q57" s="22"/>
      <c r="R57" s="23" t="s">
        <v>87</v>
      </c>
      <c r="S57" s="23" t="s">
        <v>87</v>
      </c>
      <c r="U57" s="23" t="s">
        <v>133</v>
      </c>
      <c r="V57" s="23" t="s">
        <v>137</v>
      </c>
    </row>
    <row r="58" spans="1:23" s="23" customFormat="1" ht="30" x14ac:dyDescent="0.25">
      <c r="A58" s="17">
        <v>51</v>
      </c>
      <c r="B58" s="21"/>
      <c r="C58" s="22"/>
      <c r="D58" s="23" t="s">
        <v>51</v>
      </c>
      <c r="J58" s="23" t="s">
        <v>138</v>
      </c>
      <c r="L58" s="23" t="s">
        <v>119</v>
      </c>
      <c r="M58" s="23" t="s">
        <v>122</v>
      </c>
      <c r="N58" s="27"/>
      <c r="O58" s="23" t="s">
        <v>62</v>
      </c>
      <c r="P58" s="21"/>
      <c r="Q58" s="22"/>
      <c r="R58" s="23" t="s">
        <v>87</v>
      </c>
      <c r="S58" s="23" t="s">
        <v>87</v>
      </c>
      <c r="U58" s="23" t="s">
        <v>133</v>
      </c>
      <c r="V58" s="23" t="s">
        <v>137</v>
      </c>
    </row>
    <row r="59" spans="1:23" ht="45" x14ac:dyDescent="0.25">
      <c r="A59" s="17">
        <v>52</v>
      </c>
      <c r="B59" s="19"/>
      <c r="C59" s="20"/>
      <c r="D59" s="3" t="s">
        <v>68</v>
      </c>
      <c r="J59" s="3" t="s">
        <v>139</v>
      </c>
      <c r="L59" s="3" t="s">
        <v>70</v>
      </c>
      <c r="M59" s="3" t="s">
        <v>66</v>
      </c>
      <c r="N59" s="4">
        <v>20</v>
      </c>
      <c r="O59" s="3" t="s">
        <v>62</v>
      </c>
      <c r="P59" s="19"/>
      <c r="Q59" s="20"/>
      <c r="R59" s="3" t="s">
        <v>87</v>
      </c>
      <c r="U59" s="3" t="s">
        <v>88</v>
      </c>
    </row>
    <row r="60" spans="1:23" s="26" customFormat="1" ht="30" x14ac:dyDescent="0.25">
      <c r="A60" s="17">
        <v>53</v>
      </c>
      <c r="B60" s="24"/>
      <c r="C60" s="25"/>
      <c r="D60" s="26" t="s">
        <v>101</v>
      </c>
      <c r="J60" s="26" t="s">
        <v>85</v>
      </c>
      <c r="L60" s="26" t="s">
        <v>86</v>
      </c>
      <c r="N60" s="28">
        <v>5</v>
      </c>
      <c r="O60" s="26" t="s">
        <v>62</v>
      </c>
      <c r="P60" s="24"/>
      <c r="Q60" s="25"/>
      <c r="R60" s="26" t="s">
        <v>87</v>
      </c>
      <c r="S60" s="26" t="s">
        <v>87</v>
      </c>
      <c r="U60" s="26" t="s">
        <v>88</v>
      </c>
      <c r="V60" s="26" t="s">
        <v>89</v>
      </c>
    </row>
    <row r="61" spans="1:23" s="26" customFormat="1" ht="30" x14ac:dyDescent="0.25">
      <c r="A61" s="17">
        <v>54</v>
      </c>
      <c r="B61" s="24"/>
      <c r="C61" s="25"/>
      <c r="D61" s="26" t="s">
        <v>101</v>
      </c>
      <c r="J61" s="26" t="s">
        <v>140</v>
      </c>
      <c r="L61" s="26" t="s">
        <v>86</v>
      </c>
      <c r="N61" s="28">
        <v>5</v>
      </c>
      <c r="O61" s="26" t="s">
        <v>62</v>
      </c>
      <c r="P61" s="24"/>
      <c r="Q61" s="25"/>
      <c r="R61" s="26" t="s">
        <v>87</v>
      </c>
      <c r="S61" s="26" t="s">
        <v>87</v>
      </c>
      <c r="U61" s="26" t="s">
        <v>88</v>
      </c>
      <c r="V61" s="26" t="s">
        <v>89</v>
      </c>
    </row>
    <row r="62" spans="1:23" s="26" customFormat="1" ht="30" x14ac:dyDescent="0.25">
      <c r="A62" s="17">
        <v>55</v>
      </c>
      <c r="B62" s="24"/>
      <c r="C62" s="25"/>
      <c r="D62" s="26" t="s">
        <v>101</v>
      </c>
      <c r="J62" s="26" t="s">
        <v>92</v>
      </c>
      <c r="L62" s="26" t="s">
        <v>86</v>
      </c>
      <c r="N62" s="28">
        <v>5</v>
      </c>
      <c r="O62" s="26" t="s">
        <v>62</v>
      </c>
      <c r="P62" s="24"/>
      <c r="Q62" s="25"/>
      <c r="R62" s="26" t="s">
        <v>87</v>
      </c>
      <c r="S62" s="26" t="s">
        <v>87</v>
      </c>
      <c r="U62" s="26" t="s">
        <v>88</v>
      </c>
      <c r="V62" s="26" t="s">
        <v>89</v>
      </c>
    </row>
    <row r="63" spans="1:23" s="26" customFormat="1" ht="30" x14ac:dyDescent="0.25">
      <c r="A63" s="17">
        <v>56</v>
      </c>
      <c r="B63" s="24"/>
      <c r="C63" s="25"/>
      <c r="D63" s="26" t="s">
        <v>101</v>
      </c>
      <c r="J63" s="26" t="s">
        <v>141</v>
      </c>
      <c r="K63" s="26" t="s">
        <v>142</v>
      </c>
      <c r="L63" s="26" t="s">
        <v>86</v>
      </c>
      <c r="N63" s="28">
        <v>5</v>
      </c>
      <c r="O63" s="26" t="s">
        <v>62</v>
      </c>
      <c r="P63" s="24"/>
      <c r="Q63" s="25"/>
      <c r="R63" s="26" t="s">
        <v>87</v>
      </c>
      <c r="S63" s="26" t="s">
        <v>87</v>
      </c>
      <c r="U63" s="26" t="s">
        <v>88</v>
      </c>
      <c r="V63" s="26" t="s">
        <v>89</v>
      </c>
    </row>
    <row r="64" spans="1:23" ht="30" x14ac:dyDescent="0.25">
      <c r="A64" s="17">
        <v>57</v>
      </c>
      <c r="B64" s="19"/>
      <c r="C64" s="20"/>
      <c r="D64" s="3" t="s">
        <v>129</v>
      </c>
      <c r="J64" s="36" t="s">
        <v>143</v>
      </c>
      <c r="L64" s="3" t="s">
        <v>119</v>
      </c>
      <c r="M64" s="3" t="s">
        <v>120</v>
      </c>
      <c r="N64" s="4">
        <v>20</v>
      </c>
      <c r="O64" s="3" t="s">
        <v>62</v>
      </c>
      <c r="P64" s="19"/>
      <c r="Q64" s="20"/>
      <c r="R64" s="3" t="s">
        <v>29</v>
      </c>
      <c r="S64" s="3" t="s">
        <v>30</v>
      </c>
      <c r="T64" s="3" t="s">
        <v>31</v>
      </c>
    </row>
    <row r="65" spans="1:23" ht="25.5" x14ac:dyDescent="0.25">
      <c r="A65" s="17">
        <v>58</v>
      </c>
      <c r="B65" s="2"/>
      <c r="C65" s="5"/>
      <c r="D65" s="3" t="s">
        <v>129</v>
      </c>
      <c r="E65" s="1"/>
      <c r="F65" s="1"/>
      <c r="G65" s="1"/>
      <c r="H65" s="1"/>
      <c r="I65" s="1"/>
      <c r="J65" s="37" t="s">
        <v>144</v>
      </c>
      <c r="K65" s="1"/>
      <c r="L65" s="1" t="s">
        <v>119</v>
      </c>
      <c r="M65" s="1" t="s">
        <v>120</v>
      </c>
      <c r="N65" s="15"/>
      <c r="O65" s="3" t="s">
        <v>62</v>
      </c>
      <c r="P65" s="2"/>
      <c r="Q65" s="5"/>
      <c r="R65" s="1" t="s">
        <v>29</v>
      </c>
      <c r="S65" s="1" t="s">
        <v>30</v>
      </c>
      <c r="T65" s="3" t="s">
        <v>31</v>
      </c>
      <c r="V65" s="1"/>
      <c r="W65" s="1"/>
    </row>
    <row r="66" spans="1:23" s="23" customFormat="1" ht="28.5" customHeight="1" x14ac:dyDescent="0.25">
      <c r="A66" s="17">
        <v>59</v>
      </c>
      <c r="B66" s="21"/>
      <c r="C66" s="22"/>
      <c r="D66" s="23" t="s">
        <v>129</v>
      </c>
      <c r="J66" s="23" t="s">
        <v>145</v>
      </c>
      <c r="L66" s="23" t="s">
        <v>119</v>
      </c>
      <c r="M66" s="23" t="s">
        <v>122</v>
      </c>
      <c r="N66" s="27"/>
      <c r="O66" s="23" t="s">
        <v>62</v>
      </c>
      <c r="P66" s="21"/>
      <c r="Q66" s="22"/>
    </row>
    <row r="67" spans="1:23" ht="30" x14ac:dyDescent="0.25">
      <c r="A67" s="17">
        <v>60</v>
      </c>
      <c r="B67" s="21"/>
      <c r="C67" s="22"/>
      <c r="D67" s="23" t="s">
        <v>146</v>
      </c>
      <c r="E67" s="23"/>
      <c r="F67" s="23"/>
      <c r="G67" s="23"/>
      <c r="H67" s="23"/>
      <c r="I67" s="23"/>
      <c r="J67" s="23" t="s">
        <v>147</v>
      </c>
      <c r="K67" s="23" t="s">
        <v>148</v>
      </c>
      <c r="L67" s="23" t="s">
        <v>149</v>
      </c>
      <c r="M67" s="23"/>
      <c r="N67" s="27">
        <v>15</v>
      </c>
      <c r="O67" s="23" t="s">
        <v>62</v>
      </c>
      <c r="P67" s="21"/>
      <c r="Q67" s="22"/>
      <c r="R67" s="23"/>
      <c r="S67" s="23"/>
      <c r="T67" s="23"/>
      <c r="U67" s="23"/>
      <c r="V67" s="23"/>
      <c r="W67" s="23"/>
    </row>
    <row r="68" spans="1:23" ht="30" x14ac:dyDescent="0.25">
      <c r="A68" s="17">
        <v>61</v>
      </c>
      <c r="B68" s="21"/>
      <c r="C68" s="22"/>
      <c r="D68" s="23" t="s">
        <v>146</v>
      </c>
      <c r="E68" s="23"/>
      <c r="F68" s="23"/>
      <c r="G68" s="23"/>
      <c r="H68" s="23"/>
      <c r="I68" s="23"/>
      <c r="J68" s="23" t="s">
        <v>150</v>
      </c>
      <c r="K68" s="23" t="s">
        <v>148</v>
      </c>
      <c r="L68" s="23" t="s">
        <v>151</v>
      </c>
      <c r="M68" s="23"/>
      <c r="N68" s="27">
        <v>15</v>
      </c>
      <c r="O68" s="23" t="s">
        <v>62</v>
      </c>
      <c r="P68" s="21"/>
      <c r="Q68" s="22"/>
      <c r="R68" s="23"/>
      <c r="S68" s="23"/>
      <c r="T68" s="23"/>
      <c r="U68" s="23"/>
      <c r="V68" s="23"/>
      <c r="W68" s="23"/>
    </row>
    <row r="69" spans="1:23" ht="30" x14ac:dyDescent="0.25">
      <c r="A69" s="17">
        <v>62</v>
      </c>
      <c r="B69" s="19"/>
      <c r="C69" s="20"/>
      <c r="D69" s="3" t="s">
        <v>129</v>
      </c>
      <c r="J69" s="36" t="s">
        <v>152</v>
      </c>
      <c r="L69" s="3" t="s">
        <v>119</v>
      </c>
      <c r="M69" s="3" t="s">
        <v>120</v>
      </c>
      <c r="N69" s="4">
        <v>20</v>
      </c>
      <c r="O69" s="3" t="s">
        <v>62</v>
      </c>
      <c r="P69" s="19"/>
      <c r="Q69" s="20"/>
      <c r="R69" s="3" t="s">
        <v>29</v>
      </c>
      <c r="S69" s="3" t="s">
        <v>30</v>
      </c>
      <c r="T69" s="3" t="s">
        <v>31</v>
      </c>
    </row>
    <row r="70" spans="1:23" s="23" customFormat="1" ht="30" x14ac:dyDescent="0.25">
      <c r="A70" s="17">
        <v>63</v>
      </c>
      <c r="B70" s="21"/>
      <c r="C70" s="22"/>
      <c r="D70" s="23" t="s">
        <v>129</v>
      </c>
      <c r="J70" s="23" t="s">
        <v>153</v>
      </c>
      <c r="L70" s="23" t="s">
        <v>119</v>
      </c>
      <c r="M70" s="23" t="s">
        <v>122</v>
      </c>
      <c r="N70" s="27"/>
      <c r="O70" s="23" t="s">
        <v>62</v>
      </c>
      <c r="P70" s="21"/>
      <c r="Q70" s="22"/>
    </row>
    <row r="71" spans="1:23" s="55" customFormat="1" ht="45" x14ac:dyDescent="0.25">
      <c r="A71" s="52">
        <v>64</v>
      </c>
      <c r="B71" s="53"/>
      <c r="C71" s="54"/>
      <c r="D71" s="55" t="s">
        <v>51</v>
      </c>
      <c r="J71" s="55" t="s">
        <v>112</v>
      </c>
      <c r="K71" s="55" t="s">
        <v>113</v>
      </c>
      <c r="L71" s="55" t="s">
        <v>54</v>
      </c>
      <c r="M71" s="55" t="s">
        <v>55</v>
      </c>
      <c r="N71" s="56">
        <v>10</v>
      </c>
      <c r="O71" s="55" t="s">
        <v>28</v>
      </c>
      <c r="P71" s="53"/>
      <c r="Q71" s="54"/>
      <c r="R71" s="55" t="s">
        <v>29</v>
      </c>
      <c r="S71" s="55" t="s">
        <v>30</v>
      </c>
      <c r="T71" s="55" t="s">
        <v>154</v>
      </c>
    </row>
    <row r="72" spans="1:23" s="55" customFormat="1" ht="45" x14ac:dyDescent="0.25">
      <c r="A72" s="52">
        <v>65</v>
      </c>
      <c r="B72" s="53"/>
      <c r="C72" s="54"/>
      <c r="D72" s="55" t="s">
        <v>51</v>
      </c>
      <c r="J72" s="55" t="s">
        <v>114</v>
      </c>
      <c r="K72" s="55" t="s">
        <v>115</v>
      </c>
      <c r="L72" s="55" t="s">
        <v>54</v>
      </c>
      <c r="M72" s="55" t="s">
        <v>55</v>
      </c>
      <c r="N72" s="56">
        <v>10</v>
      </c>
      <c r="O72" s="55" t="s">
        <v>28</v>
      </c>
      <c r="P72" s="53"/>
      <c r="Q72" s="54"/>
      <c r="R72" s="55" t="s">
        <v>29</v>
      </c>
      <c r="S72" s="55" t="s">
        <v>30</v>
      </c>
      <c r="T72" s="55" t="s">
        <v>154</v>
      </c>
    </row>
    <row r="73" spans="1:23" s="55" customFormat="1" ht="45" x14ac:dyDescent="0.25">
      <c r="A73" s="52">
        <v>66</v>
      </c>
      <c r="B73" s="53"/>
      <c r="C73" s="54"/>
      <c r="D73" s="55" t="s">
        <v>51</v>
      </c>
      <c r="J73" s="55" t="s">
        <v>155</v>
      </c>
      <c r="K73" s="55" t="s">
        <v>156</v>
      </c>
      <c r="L73" s="55" t="s">
        <v>54</v>
      </c>
      <c r="M73" s="55" t="s">
        <v>55</v>
      </c>
      <c r="N73" s="56">
        <v>10</v>
      </c>
      <c r="O73" s="55" t="s">
        <v>28</v>
      </c>
      <c r="P73" s="53"/>
      <c r="Q73" s="54"/>
      <c r="R73" s="55" t="s">
        <v>29</v>
      </c>
      <c r="S73" s="55" t="s">
        <v>30</v>
      </c>
      <c r="T73" s="55" t="s">
        <v>154</v>
      </c>
    </row>
    <row r="74" spans="1:23" s="55" customFormat="1" ht="45" x14ac:dyDescent="0.25">
      <c r="A74" s="52">
        <v>67</v>
      </c>
      <c r="B74" s="53"/>
      <c r="C74" s="54"/>
      <c r="D74" s="55" t="s">
        <v>51</v>
      </c>
      <c r="J74" s="55" t="s">
        <v>157</v>
      </c>
      <c r="K74" s="55" t="s">
        <v>158</v>
      </c>
      <c r="L74" s="55" t="s">
        <v>54</v>
      </c>
      <c r="M74" s="55" t="s">
        <v>55</v>
      </c>
      <c r="N74" s="56">
        <v>10</v>
      </c>
      <c r="O74" s="55" t="s">
        <v>28</v>
      </c>
      <c r="P74" s="53"/>
      <c r="Q74" s="54"/>
      <c r="R74" s="55" t="s">
        <v>29</v>
      </c>
      <c r="S74" s="55" t="s">
        <v>30</v>
      </c>
      <c r="T74" s="55" t="s">
        <v>154</v>
      </c>
    </row>
    <row r="75" spans="1:23" s="55" customFormat="1" ht="150" x14ac:dyDescent="0.25">
      <c r="A75" s="52">
        <v>68</v>
      </c>
      <c r="B75" s="53"/>
      <c r="C75" s="54"/>
      <c r="D75" s="55" t="s">
        <v>51</v>
      </c>
      <c r="J75" s="55" t="s">
        <v>159</v>
      </c>
      <c r="K75" s="55" t="s">
        <v>160</v>
      </c>
      <c r="L75" s="55" t="s">
        <v>54</v>
      </c>
      <c r="M75" s="55" t="s">
        <v>55</v>
      </c>
      <c r="N75" s="56">
        <v>20</v>
      </c>
      <c r="O75" s="55" t="s">
        <v>28</v>
      </c>
      <c r="P75" s="53"/>
      <c r="Q75" s="54"/>
      <c r="R75" s="55" t="s">
        <v>29</v>
      </c>
      <c r="S75" s="55" t="s">
        <v>30</v>
      </c>
      <c r="T75" s="55" t="s">
        <v>154</v>
      </c>
      <c r="W75" s="55" t="s">
        <v>161</v>
      </c>
    </row>
    <row r="76" spans="1:23" ht="31.5" customHeight="1" x14ac:dyDescent="0.25">
      <c r="A76" s="17">
        <v>69</v>
      </c>
      <c r="B76" s="24"/>
      <c r="C76" s="25"/>
      <c r="D76" s="26" t="s">
        <v>51</v>
      </c>
      <c r="E76" s="26"/>
      <c r="F76" s="26"/>
      <c r="G76" s="26"/>
      <c r="H76" s="26"/>
      <c r="I76" s="26"/>
      <c r="J76" s="26" t="s">
        <v>162</v>
      </c>
      <c r="K76" s="26" t="s">
        <v>163</v>
      </c>
      <c r="L76" s="26" t="s">
        <v>54</v>
      </c>
      <c r="M76" s="26" t="s">
        <v>55</v>
      </c>
      <c r="N76" s="28"/>
      <c r="O76" s="26" t="s">
        <v>28</v>
      </c>
      <c r="P76" s="24"/>
      <c r="Q76" s="25"/>
      <c r="R76" s="26" t="s">
        <v>82</v>
      </c>
      <c r="S76" s="26" t="s">
        <v>83</v>
      </c>
      <c r="T76" s="26"/>
      <c r="U76" s="26"/>
      <c r="V76" s="26"/>
      <c r="W76" s="26" t="s">
        <v>164</v>
      </c>
    </row>
    <row r="77" spans="1:23" ht="27" customHeight="1" x14ac:dyDescent="0.25">
      <c r="A77" s="17">
        <v>70</v>
      </c>
      <c r="B77" s="19"/>
      <c r="C77" s="20"/>
      <c r="D77" s="41" t="s">
        <v>51</v>
      </c>
      <c r="E77" s="41"/>
      <c r="F77" s="41"/>
      <c r="G77" s="41"/>
      <c r="H77" s="41"/>
      <c r="I77" s="41"/>
      <c r="J77" s="41" t="s">
        <v>165</v>
      </c>
      <c r="K77" s="41" t="s">
        <v>166</v>
      </c>
      <c r="L77" s="41" t="s">
        <v>54</v>
      </c>
      <c r="M77" s="41" t="s">
        <v>55</v>
      </c>
      <c r="N77" s="42">
        <v>10</v>
      </c>
      <c r="O77" s="41" t="s">
        <v>28</v>
      </c>
      <c r="P77" s="39"/>
      <c r="Q77" s="40"/>
      <c r="R77" s="55" t="s">
        <v>29</v>
      </c>
      <c r="S77" s="55" t="s">
        <v>30</v>
      </c>
      <c r="T77" s="55" t="s">
        <v>154</v>
      </c>
      <c r="U77" s="55"/>
      <c r="V77" s="55"/>
      <c r="W77" s="55" t="s">
        <v>161</v>
      </c>
    </row>
    <row r="78" spans="1:23" ht="26.25" customHeight="1" x14ac:dyDescent="0.25">
      <c r="A78" s="38">
        <v>71</v>
      </c>
      <c r="B78" s="39"/>
      <c r="C78" s="40"/>
      <c r="D78" s="41" t="s">
        <v>167</v>
      </c>
      <c r="E78" s="41"/>
      <c r="I78" s="41"/>
      <c r="J78" s="41" t="s">
        <v>168</v>
      </c>
      <c r="K78" s="41" t="s">
        <v>169</v>
      </c>
      <c r="L78" s="41" t="s">
        <v>167</v>
      </c>
      <c r="M78" s="41" t="s">
        <v>170</v>
      </c>
      <c r="N78" s="42">
        <v>15</v>
      </c>
      <c r="O78" s="41"/>
      <c r="P78" s="19"/>
      <c r="Q78" s="20"/>
      <c r="R78" s="41" t="s">
        <v>29</v>
      </c>
      <c r="S78" s="41" t="s">
        <v>30</v>
      </c>
      <c r="T78" s="41"/>
      <c r="U78" s="41"/>
      <c r="V78" s="41" t="s">
        <v>171</v>
      </c>
      <c r="W78" s="41" t="s">
        <v>172</v>
      </c>
    </row>
    <row r="79" spans="1:23" ht="28.5" customHeight="1" x14ac:dyDescent="0.25">
      <c r="A79" s="52">
        <v>72</v>
      </c>
      <c r="B79" s="53"/>
      <c r="C79" s="54"/>
      <c r="D79" s="55" t="s">
        <v>167</v>
      </c>
      <c r="E79" s="55"/>
      <c r="I79" s="55"/>
      <c r="J79" s="55" t="s">
        <v>173</v>
      </c>
      <c r="K79" s="55" t="s">
        <v>174</v>
      </c>
      <c r="L79" s="55" t="s">
        <v>167</v>
      </c>
      <c r="M79" s="55" t="s">
        <v>170</v>
      </c>
      <c r="N79" s="56">
        <v>30</v>
      </c>
      <c r="O79" s="55"/>
      <c r="P79" s="19"/>
      <c r="Q79" s="20"/>
      <c r="R79" s="55" t="s">
        <v>87</v>
      </c>
      <c r="S79" s="41" t="s">
        <v>175</v>
      </c>
      <c r="T79" s="41" t="s">
        <v>176</v>
      </c>
      <c r="U79" s="41" t="s">
        <v>133</v>
      </c>
      <c r="V79" s="41" t="s">
        <v>177</v>
      </c>
      <c r="W79" s="55" t="s">
        <v>178</v>
      </c>
    </row>
    <row r="80" spans="1:23" ht="27.75" customHeight="1" x14ac:dyDescent="0.25">
      <c r="A80" s="38">
        <v>73</v>
      </c>
      <c r="B80" s="39"/>
      <c r="C80" s="40"/>
      <c r="D80" s="41" t="s">
        <v>167</v>
      </c>
      <c r="E80" s="41"/>
      <c r="I80" s="41"/>
      <c r="J80" s="41" t="s">
        <v>179</v>
      </c>
      <c r="K80" s="41" t="s">
        <v>180</v>
      </c>
      <c r="L80" s="41" t="s">
        <v>167</v>
      </c>
      <c r="M80" s="41" t="s">
        <v>170</v>
      </c>
      <c r="N80" s="42">
        <v>10</v>
      </c>
      <c r="O80" s="41"/>
      <c r="P80" s="19"/>
      <c r="Q80" s="20"/>
      <c r="R80" s="41" t="s">
        <v>87</v>
      </c>
      <c r="S80" s="41" t="s">
        <v>175</v>
      </c>
      <c r="T80" s="41" t="s">
        <v>176</v>
      </c>
      <c r="U80" s="41" t="s">
        <v>133</v>
      </c>
      <c r="V80" s="41" t="s">
        <v>177</v>
      </c>
      <c r="W80" s="41" t="s">
        <v>181</v>
      </c>
    </row>
    <row r="81" spans="1:23" ht="29.25" customHeight="1" x14ac:dyDescent="0.25">
      <c r="A81" s="38">
        <v>74</v>
      </c>
      <c r="B81" s="39"/>
      <c r="C81" s="40"/>
      <c r="D81" s="41" t="s">
        <v>167</v>
      </c>
      <c r="E81" s="41"/>
      <c r="I81" s="41"/>
      <c r="J81" s="41" t="s">
        <v>182</v>
      </c>
      <c r="K81" s="41" t="s">
        <v>183</v>
      </c>
      <c r="L81" s="41" t="s">
        <v>167</v>
      </c>
      <c r="M81" s="41" t="s">
        <v>170</v>
      </c>
      <c r="N81" s="42">
        <v>5</v>
      </c>
      <c r="O81" s="41"/>
      <c r="P81" s="19"/>
      <c r="Q81" s="20"/>
      <c r="R81" s="41" t="s">
        <v>29</v>
      </c>
      <c r="S81" s="41" t="s">
        <v>30</v>
      </c>
      <c r="T81" s="41"/>
      <c r="U81" s="41"/>
      <c r="V81" s="41" t="s">
        <v>184</v>
      </c>
      <c r="W81" s="41" t="s">
        <v>185</v>
      </c>
    </row>
    <row r="82" spans="1:23" ht="22.5" customHeight="1" x14ac:dyDescent="0.25">
      <c r="A82" s="38">
        <v>75</v>
      </c>
      <c r="B82" s="39"/>
      <c r="C82" s="40"/>
      <c r="D82" s="41" t="s">
        <v>167</v>
      </c>
      <c r="E82" s="41"/>
      <c r="I82" s="41"/>
      <c r="J82" s="41" t="s">
        <v>186</v>
      </c>
      <c r="K82" s="41" t="s">
        <v>187</v>
      </c>
      <c r="L82" s="41" t="s">
        <v>167</v>
      </c>
      <c r="M82" s="41" t="s">
        <v>170</v>
      </c>
      <c r="N82" s="42">
        <v>10</v>
      </c>
      <c r="O82" s="41"/>
      <c r="P82" s="19"/>
      <c r="Q82" s="20"/>
      <c r="R82" s="41" t="s">
        <v>29</v>
      </c>
      <c r="S82" s="41" t="s">
        <v>30</v>
      </c>
      <c r="T82" s="41"/>
      <c r="U82" s="41"/>
      <c r="V82" s="41" t="s">
        <v>188</v>
      </c>
      <c r="W82" s="41" t="s">
        <v>189</v>
      </c>
    </row>
    <row r="83" spans="1:23" ht="26.25" customHeight="1" x14ac:dyDescent="0.25">
      <c r="A83" s="38">
        <v>76</v>
      </c>
      <c r="B83" s="39"/>
      <c r="C83" s="40"/>
      <c r="D83" s="41" t="s">
        <v>167</v>
      </c>
      <c r="E83" s="41"/>
      <c r="I83" s="41"/>
      <c r="J83" s="41" t="s">
        <v>190</v>
      </c>
      <c r="K83" s="41" t="s">
        <v>191</v>
      </c>
      <c r="L83" s="41" t="s">
        <v>167</v>
      </c>
      <c r="M83" s="41" t="s">
        <v>170</v>
      </c>
      <c r="N83" s="42">
        <v>5</v>
      </c>
      <c r="O83" s="41"/>
      <c r="P83" s="19"/>
      <c r="Q83" s="20"/>
      <c r="R83" s="41" t="s">
        <v>29</v>
      </c>
      <c r="S83" s="41" t="s">
        <v>30</v>
      </c>
      <c r="T83" s="41"/>
      <c r="U83" s="41"/>
      <c r="V83" s="41"/>
      <c r="W83" s="41" t="s">
        <v>192</v>
      </c>
    </row>
    <row r="84" spans="1:23" s="78" customFormat="1" ht="18" customHeight="1" x14ac:dyDescent="0.25">
      <c r="A84" s="75">
        <v>77</v>
      </c>
      <c r="B84" s="76"/>
      <c r="C84" s="77"/>
      <c r="D84" s="78" t="s">
        <v>167</v>
      </c>
      <c r="F84" s="3"/>
      <c r="G84" s="3"/>
      <c r="H84" s="3"/>
      <c r="J84" s="78" t="s">
        <v>193</v>
      </c>
      <c r="K84" s="78" t="s">
        <v>194</v>
      </c>
      <c r="L84" s="78" t="s">
        <v>195</v>
      </c>
      <c r="N84" s="79">
        <v>10</v>
      </c>
      <c r="P84" s="19"/>
      <c r="Q84" s="20"/>
      <c r="R84" s="78" t="s">
        <v>87</v>
      </c>
      <c r="U84" s="78" t="s">
        <v>88</v>
      </c>
      <c r="V84" s="78" t="s">
        <v>196</v>
      </c>
    </row>
    <row r="85" spans="1:23" s="26" customFormat="1" x14ac:dyDescent="0.25">
      <c r="A85" s="61">
        <v>104</v>
      </c>
      <c r="B85" s="62"/>
      <c r="C85" s="63"/>
      <c r="D85" s="36" t="s">
        <v>23</v>
      </c>
      <c r="E85" s="36"/>
      <c r="F85" s="36"/>
      <c r="G85" s="36"/>
      <c r="H85" s="36"/>
      <c r="I85" s="36"/>
      <c r="J85" s="36" t="s">
        <v>197</v>
      </c>
      <c r="K85" s="36" t="s">
        <v>198</v>
      </c>
      <c r="L85" s="36" t="s">
        <v>26</v>
      </c>
      <c r="M85" s="36" t="s">
        <v>199</v>
      </c>
      <c r="N85" s="64">
        <v>10</v>
      </c>
      <c r="O85" s="36" t="s">
        <v>43</v>
      </c>
      <c r="P85" s="62"/>
      <c r="Q85" s="63"/>
      <c r="R85" s="36" t="s">
        <v>29</v>
      </c>
      <c r="S85" s="36" t="s">
        <v>30</v>
      </c>
      <c r="T85" s="36" t="s">
        <v>200</v>
      </c>
      <c r="U85" s="36"/>
      <c r="V85" s="36"/>
      <c r="W85" s="36"/>
    </row>
    <row r="86" spans="1:23" ht="30" x14ac:dyDescent="0.25">
      <c r="A86" s="17">
        <v>79</v>
      </c>
      <c r="B86" s="19"/>
      <c r="C86" s="20"/>
      <c r="D86" s="3" t="s">
        <v>167</v>
      </c>
      <c r="J86" s="3" t="s">
        <v>201</v>
      </c>
      <c r="K86" s="3" t="s">
        <v>202</v>
      </c>
      <c r="L86" s="3" t="s">
        <v>26</v>
      </c>
      <c r="M86" s="3" t="s">
        <v>27</v>
      </c>
      <c r="N86" s="4">
        <v>10</v>
      </c>
      <c r="P86" s="19"/>
      <c r="Q86" s="20"/>
      <c r="R86" s="3" t="s">
        <v>87</v>
      </c>
    </row>
    <row r="87" spans="1:23" ht="22.5" customHeight="1" x14ac:dyDescent="0.25">
      <c r="A87" s="17">
        <v>137</v>
      </c>
      <c r="B87" s="19"/>
      <c r="C87" s="20"/>
      <c r="D87" s="17" t="s">
        <v>23</v>
      </c>
      <c r="E87" s="17"/>
      <c r="F87" s="18"/>
      <c r="G87" s="18"/>
      <c r="H87" s="18"/>
      <c r="I87" s="17"/>
      <c r="J87" s="3" t="s">
        <v>203</v>
      </c>
      <c r="K87" s="3" t="s">
        <v>204</v>
      </c>
      <c r="L87" s="17" t="s">
        <v>26</v>
      </c>
      <c r="M87" s="17" t="s">
        <v>27</v>
      </c>
      <c r="N87" s="4">
        <v>10</v>
      </c>
      <c r="P87" s="19"/>
      <c r="Q87" s="20"/>
    </row>
    <row r="88" spans="1:23" ht="90" x14ac:dyDescent="0.25">
      <c r="A88" s="17">
        <v>81</v>
      </c>
      <c r="B88" s="19"/>
      <c r="C88" s="20"/>
      <c r="D88" s="3" t="s">
        <v>167</v>
      </c>
      <c r="J88" s="3" t="s">
        <v>205</v>
      </c>
      <c r="K88" s="3" t="s">
        <v>206</v>
      </c>
      <c r="L88" s="3" t="s">
        <v>167</v>
      </c>
      <c r="M88" s="3" t="s">
        <v>170</v>
      </c>
      <c r="N88" s="4">
        <v>20</v>
      </c>
      <c r="P88" s="19"/>
      <c r="Q88" s="20"/>
      <c r="R88" s="3" t="s">
        <v>29</v>
      </c>
      <c r="S88" s="3" t="s">
        <v>30</v>
      </c>
      <c r="U88" s="3" t="s">
        <v>207</v>
      </c>
      <c r="V88" s="55" t="s">
        <v>208</v>
      </c>
      <c r="W88" s="3" t="s">
        <v>209</v>
      </c>
    </row>
    <row r="89" spans="1:23" s="55" customFormat="1" ht="120" x14ac:dyDescent="0.25">
      <c r="A89" s="52">
        <v>82</v>
      </c>
      <c r="B89" s="53"/>
      <c r="C89" s="54"/>
      <c r="D89" s="55" t="s">
        <v>167</v>
      </c>
      <c r="F89" s="3"/>
      <c r="G89" s="3"/>
      <c r="H89" s="3"/>
      <c r="J89" s="55" t="s">
        <v>210</v>
      </c>
      <c r="K89" s="55" t="s">
        <v>211</v>
      </c>
      <c r="L89" s="55" t="s">
        <v>167</v>
      </c>
      <c r="M89" s="55" t="s">
        <v>170</v>
      </c>
      <c r="N89" s="56">
        <v>10</v>
      </c>
      <c r="P89" s="19"/>
      <c r="Q89" s="20"/>
      <c r="R89" s="55" t="s">
        <v>29</v>
      </c>
      <c r="S89" s="55" t="s">
        <v>30</v>
      </c>
      <c r="V89" s="55" t="s">
        <v>212</v>
      </c>
      <c r="W89" s="55" t="s">
        <v>213</v>
      </c>
    </row>
    <row r="90" spans="1:23" s="55" customFormat="1" ht="45" x14ac:dyDescent="0.25">
      <c r="A90" s="52">
        <v>83</v>
      </c>
      <c r="B90" s="53"/>
      <c r="C90" s="54"/>
      <c r="D90" s="55" t="s">
        <v>167</v>
      </c>
      <c r="F90" s="3"/>
      <c r="G90" s="3"/>
      <c r="H90" s="3"/>
      <c r="J90" s="55" t="s">
        <v>210</v>
      </c>
      <c r="K90" s="55" t="s">
        <v>214</v>
      </c>
      <c r="L90" s="55" t="s">
        <v>167</v>
      </c>
      <c r="M90" s="55" t="s">
        <v>170</v>
      </c>
      <c r="N90" s="56">
        <v>10</v>
      </c>
      <c r="P90" s="19"/>
      <c r="Q90" s="20"/>
      <c r="R90" s="55" t="s">
        <v>29</v>
      </c>
      <c r="S90" s="55" t="s">
        <v>30</v>
      </c>
      <c r="V90" s="55" t="s">
        <v>215</v>
      </c>
      <c r="W90" s="55" t="s">
        <v>216</v>
      </c>
    </row>
    <row r="91" spans="1:23" ht="120" x14ac:dyDescent="0.25">
      <c r="A91" s="17">
        <v>84</v>
      </c>
      <c r="B91" s="19"/>
      <c r="C91" s="20"/>
      <c r="D91" s="3" t="s">
        <v>167</v>
      </c>
      <c r="J91" s="3" t="s">
        <v>217</v>
      </c>
      <c r="K91" s="3" t="s">
        <v>218</v>
      </c>
      <c r="L91" s="3" t="s">
        <v>167</v>
      </c>
      <c r="M91" s="3" t="s">
        <v>170</v>
      </c>
      <c r="N91" s="4">
        <v>20</v>
      </c>
      <c r="P91" s="19"/>
      <c r="Q91" s="20"/>
      <c r="R91" s="3" t="s">
        <v>29</v>
      </c>
      <c r="S91" s="3" t="s">
        <v>30</v>
      </c>
      <c r="V91" s="55" t="s">
        <v>212</v>
      </c>
      <c r="W91" s="3" t="s">
        <v>219</v>
      </c>
    </row>
    <row r="92" spans="1:23" ht="45" x14ac:dyDescent="0.25">
      <c r="A92" s="17">
        <v>85</v>
      </c>
      <c r="B92" s="19"/>
      <c r="C92" s="20"/>
      <c r="D92" s="3" t="s">
        <v>167</v>
      </c>
      <c r="J92" s="3" t="s">
        <v>220</v>
      </c>
      <c r="K92" s="3" t="s">
        <v>221</v>
      </c>
      <c r="L92" s="3" t="s">
        <v>167</v>
      </c>
      <c r="M92" s="3" t="s">
        <v>170</v>
      </c>
      <c r="N92" s="4">
        <v>5</v>
      </c>
      <c r="P92" s="19"/>
      <c r="Q92" s="20"/>
      <c r="R92" s="3" t="s">
        <v>87</v>
      </c>
      <c r="W92" s="3" t="s">
        <v>222</v>
      </c>
    </row>
    <row r="93" spans="1:23" ht="21.75" customHeight="1" x14ac:dyDescent="0.25">
      <c r="A93" s="17">
        <v>86</v>
      </c>
      <c r="B93" s="21"/>
      <c r="C93" s="22"/>
      <c r="D93" s="23" t="s">
        <v>167</v>
      </c>
      <c r="E93" s="23"/>
      <c r="F93" s="23"/>
      <c r="G93" s="23"/>
      <c r="H93" s="23"/>
      <c r="I93" s="23"/>
      <c r="J93" s="23" t="s">
        <v>193</v>
      </c>
      <c r="K93" s="23" t="s">
        <v>194</v>
      </c>
      <c r="L93" s="23" t="s">
        <v>195</v>
      </c>
      <c r="M93" s="23" t="s">
        <v>170</v>
      </c>
      <c r="N93" s="27">
        <v>10</v>
      </c>
      <c r="O93" s="23"/>
      <c r="P93" s="21"/>
      <c r="Q93" s="22"/>
      <c r="R93" s="23" t="s">
        <v>87</v>
      </c>
      <c r="S93" s="23"/>
      <c r="T93" s="23"/>
      <c r="U93" s="23" t="s">
        <v>207</v>
      </c>
      <c r="V93" s="23"/>
      <c r="W93" s="23"/>
    </row>
    <row r="94" spans="1:23" ht="76.5" x14ac:dyDescent="0.2">
      <c r="A94" s="17">
        <v>89</v>
      </c>
      <c r="B94" s="2"/>
      <c r="C94" s="5"/>
      <c r="D94" s="1" t="s">
        <v>23</v>
      </c>
      <c r="E94" s="1"/>
      <c r="F94" s="1"/>
      <c r="G94" s="1"/>
      <c r="H94" s="1"/>
      <c r="I94" s="1"/>
      <c r="J94" s="69" t="s">
        <v>223</v>
      </c>
      <c r="K94" s="33" t="s">
        <v>224</v>
      </c>
      <c r="L94" s="33" t="s">
        <v>225</v>
      </c>
      <c r="M94" s="33" t="s">
        <v>226</v>
      </c>
      <c r="N94" s="15">
        <v>15</v>
      </c>
      <c r="O94" s="1" t="s">
        <v>43</v>
      </c>
      <c r="P94" s="2"/>
      <c r="Q94" s="5"/>
      <c r="R94" s="1" t="s">
        <v>29</v>
      </c>
      <c r="S94" s="1"/>
      <c r="T94" s="1" t="s">
        <v>227</v>
      </c>
      <c r="U94" s="1"/>
      <c r="V94" s="1" t="s">
        <v>228</v>
      </c>
      <c r="W94" s="1"/>
    </row>
    <row r="95" spans="1:23" ht="38.25" x14ac:dyDescent="0.25">
      <c r="A95" s="17">
        <v>120</v>
      </c>
      <c r="B95" s="2"/>
      <c r="C95" s="5"/>
      <c r="D95" s="1" t="s">
        <v>23</v>
      </c>
      <c r="E95" s="1"/>
      <c r="F95" s="1"/>
      <c r="G95" s="1"/>
      <c r="H95" s="1"/>
      <c r="I95" s="1"/>
      <c r="J95" s="81" t="s">
        <v>229</v>
      </c>
      <c r="K95" s="83" t="s">
        <v>230</v>
      </c>
      <c r="L95" s="83" t="s">
        <v>225</v>
      </c>
      <c r="M95" s="83" t="s">
        <v>226</v>
      </c>
      <c r="N95" s="15">
        <v>15</v>
      </c>
      <c r="O95" s="1" t="s">
        <v>43</v>
      </c>
      <c r="P95" s="2"/>
      <c r="Q95" s="5"/>
      <c r="R95" s="1" t="s">
        <v>29</v>
      </c>
      <c r="S95" s="1"/>
      <c r="T95" s="1" t="s">
        <v>31</v>
      </c>
      <c r="U95" s="1"/>
      <c r="V95" s="1"/>
      <c r="W95" s="1"/>
    </row>
    <row r="96" spans="1:23" ht="39.75" customHeight="1" x14ac:dyDescent="0.25">
      <c r="A96" s="17">
        <v>121</v>
      </c>
      <c r="B96" s="2"/>
      <c r="C96" s="5"/>
      <c r="D96" s="1" t="s">
        <v>23</v>
      </c>
      <c r="E96" s="1"/>
      <c r="F96" s="1"/>
      <c r="G96" s="1"/>
      <c r="H96" s="1"/>
      <c r="I96" s="1"/>
      <c r="J96" s="81" t="s">
        <v>231</v>
      </c>
      <c r="K96" s="83" t="s">
        <v>232</v>
      </c>
      <c r="L96" s="83" t="s">
        <v>225</v>
      </c>
      <c r="M96" s="83" t="s">
        <v>226</v>
      </c>
      <c r="N96" s="15">
        <v>15</v>
      </c>
      <c r="O96" s="1" t="s">
        <v>43</v>
      </c>
      <c r="P96" s="2"/>
      <c r="Q96" s="5"/>
      <c r="R96" s="1" t="s">
        <v>29</v>
      </c>
      <c r="S96" s="1"/>
      <c r="T96" s="1" t="s">
        <v>31</v>
      </c>
      <c r="U96" s="1"/>
      <c r="V96" s="1"/>
      <c r="W96" s="1"/>
    </row>
    <row r="97" spans="1:23" ht="79.5" customHeight="1" x14ac:dyDescent="0.25">
      <c r="A97" s="17">
        <v>90</v>
      </c>
      <c r="B97" s="19"/>
      <c r="C97" s="20"/>
      <c r="D97" s="3" t="s">
        <v>167</v>
      </c>
      <c r="J97" s="3" t="s">
        <v>233</v>
      </c>
      <c r="K97" s="3" t="s">
        <v>234</v>
      </c>
      <c r="L97" s="3" t="s">
        <v>235</v>
      </c>
      <c r="M97" s="3" t="s">
        <v>236</v>
      </c>
      <c r="N97" s="4">
        <v>30</v>
      </c>
      <c r="P97" s="19"/>
      <c r="Q97" s="20"/>
      <c r="R97" s="3" t="s">
        <v>29</v>
      </c>
      <c r="S97" s="3" t="s">
        <v>30</v>
      </c>
      <c r="U97" s="3" t="s">
        <v>207</v>
      </c>
      <c r="V97" s="87" t="s">
        <v>208</v>
      </c>
      <c r="W97" s="3" t="s">
        <v>237</v>
      </c>
    </row>
    <row r="98" spans="1:23" ht="27" customHeight="1" x14ac:dyDescent="0.25">
      <c r="A98" s="17">
        <v>91</v>
      </c>
      <c r="B98" s="19"/>
      <c r="C98" s="20"/>
      <c r="D98" s="3" t="s">
        <v>167</v>
      </c>
      <c r="J98" s="3" t="s">
        <v>238</v>
      </c>
      <c r="K98" s="3" t="s">
        <v>239</v>
      </c>
      <c r="L98" s="3" t="s">
        <v>26</v>
      </c>
      <c r="M98" s="3" t="s">
        <v>240</v>
      </c>
      <c r="N98" s="4">
        <v>10</v>
      </c>
      <c r="P98" s="19"/>
      <c r="Q98" s="20"/>
      <c r="R98" s="3" t="s">
        <v>87</v>
      </c>
    </row>
    <row r="99" spans="1:23" ht="30" x14ac:dyDescent="0.25">
      <c r="A99" s="17">
        <v>92</v>
      </c>
      <c r="B99" s="19"/>
      <c r="C99" s="20"/>
      <c r="D99" s="3" t="s">
        <v>167</v>
      </c>
      <c r="J99" s="3" t="s">
        <v>241</v>
      </c>
      <c r="K99" s="3" t="s">
        <v>242</v>
      </c>
      <c r="L99" s="3" t="s">
        <v>243</v>
      </c>
      <c r="M99" s="3" t="s">
        <v>244</v>
      </c>
      <c r="N99" s="4">
        <v>5</v>
      </c>
      <c r="P99" s="19"/>
      <c r="Q99" s="20"/>
      <c r="R99" s="3" t="s">
        <v>87</v>
      </c>
      <c r="S99" s="3" t="s">
        <v>87</v>
      </c>
      <c r="W99" s="3" t="s">
        <v>245</v>
      </c>
    </row>
    <row r="100" spans="1:23" ht="26.25" customHeight="1" x14ac:dyDescent="0.25">
      <c r="A100" s="17">
        <v>93</v>
      </c>
      <c r="B100" s="19"/>
      <c r="C100" s="20"/>
      <c r="D100" s="3" t="s">
        <v>167</v>
      </c>
      <c r="J100" s="3" t="s">
        <v>246</v>
      </c>
      <c r="K100" s="3" t="s">
        <v>247</v>
      </c>
      <c r="L100" s="3" t="s">
        <v>26</v>
      </c>
      <c r="M100" s="3" t="s">
        <v>27</v>
      </c>
      <c r="N100" s="4">
        <v>5</v>
      </c>
      <c r="P100" s="19"/>
      <c r="Q100" s="20"/>
      <c r="R100" s="3" t="s">
        <v>87</v>
      </c>
    </row>
    <row r="101" spans="1:23" ht="33.75" customHeight="1" x14ac:dyDescent="0.25">
      <c r="A101" s="38">
        <v>94</v>
      </c>
      <c r="B101" s="39"/>
      <c r="C101" s="40"/>
      <c r="D101" s="41" t="s">
        <v>167</v>
      </c>
      <c r="E101" s="41"/>
      <c r="I101" s="41"/>
      <c r="J101" s="41" t="s">
        <v>248</v>
      </c>
      <c r="K101" s="41" t="s">
        <v>249</v>
      </c>
      <c r="L101" s="41" t="s">
        <v>243</v>
      </c>
      <c r="M101" s="41" t="s">
        <v>250</v>
      </c>
      <c r="N101" s="42">
        <v>15</v>
      </c>
      <c r="O101" s="41"/>
      <c r="P101" s="19"/>
      <c r="Q101" s="20"/>
      <c r="R101" s="41" t="s">
        <v>29</v>
      </c>
      <c r="S101" s="41" t="s">
        <v>30</v>
      </c>
      <c r="T101" s="41"/>
      <c r="U101" s="41" t="s">
        <v>170</v>
      </c>
      <c r="V101" s="41" t="s">
        <v>251</v>
      </c>
      <c r="W101" s="41" t="s">
        <v>252</v>
      </c>
    </row>
    <row r="102" spans="1:23" ht="105" x14ac:dyDescent="0.25">
      <c r="A102" s="17">
        <v>95</v>
      </c>
      <c r="B102" s="19"/>
      <c r="C102" s="20"/>
      <c r="D102" s="3" t="s">
        <v>167</v>
      </c>
      <c r="J102" s="3" t="s">
        <v>253</v>
      </c>
      <c r="K102" s="3" t="s">
        <v>254</v>
      </c>
      <c r="L102" s="3" t="s">
        <v>167</v>
      </c>
      <c r="M102" s="3" t="s">
        <v>255</v>
      </c>
      <c r="N102" s="4">
        <v>5</v>
      </c>
      <c r="P102" s="19"/>
      <c r="Q102" s="20"/>
      <c r="R102" s="3" t="s">
        <v>87</v>
      </c>
      <c r="S102" s="3" t="s">
        <v>175</v>
      </c>
      <c r="U102" s="3" t="s">
        <v>256</v>
      </c>
      <c r="V102" s="86" t="s">
        <v>257</v>
      </c>
      <c r="W102" s="3" t="s">
        <v>258</v>
      </c>
    </row>
    <row r="103" spans="1:23" ht="225" x14ac:dyDescent="0.25">
      <c r="A103" s="17">
        <v>96</v>
      </c>
      <c r="B103" s="19"/>
      <c r="C103" s="20"/>
      <c r="D103" s="3" t="s">
        <v>167</v>
      </c>
      <c r="J103" s="3" t="s">
        <v>259</v>
      </c>
      <c r="K103" s="3" t="s">
        <v>260</v>
      </c>
      <c r="L103" s="3" t="s">
        <v>167</v>
      </c>
      <c r="M103" s="3" t="s">
        <v>255</v>
      </c>
      <c r="N103" s="4">
        <v>20</v>
      </c>
      <c r="P103" s="19"/>
      <c r="Q103" s="20"/>
      <c r="R103" s="3" t="s">
        <v>87</v>
      </c>
      <c r="S103" s="3" t="s">
        <v>87</v>
      </c>
      <c r="U103" s="3" t="s">
        <v>170</v>
      </c>
      <c r="V103" s="3" t="s">
        <v>261</v>
      </c>
      <c r="W103" s="3" t="s">
        <v>262</v>
      </c>
    </row>
    <row r="104" spans="1:23" ht="60" x14ac:dyDescent="0.25">
      <c r="A104" s="17">
        <v>97</v>
      </c>
      <c r="B104" s="24"/>
      <c r="C104" s="25"/>
      <c r="D104" s="26" t="s">
        <v>23</v>
      </c>
      <c r="E104" s="26"/>
      <c r="F104" s="26"/>
      <c r="G104" s="26"/>
      <c r="H104" s="26"/>
      <c r="I104" s="26"/>
      <c r="J104" s="26" t="s">
        <v>263</v>
      </c>
      <c r="K104" s="26" t="s">
        <v>264</v>
      </c>
      <c r="L104" s="26" t="s">
        <v>167</v>
      </c>
      <c r="M104" s="26" t="s">
        <v>255</v>
      </c>
      <c r="N104" s="28"/>
      <c r="O104" s="26"/>
      <c r="P104" s="24"/>
      <c r="Q104" s="25"/>
      <c r="R104" s="26"/>
      <c r="S104" s="26"/>
      <c r="T104" s="26"/>
      <c r="U104" s="26"/>
      <c r="V104" s="26"/>
      <c r="W104" s="26"/>
    </row>
    <row r="105" spans="1:23" ht="45" x14ac:dyDescent="0.25">
      <c r="A105" s="17">
        <v>98</v>
      </c>
      <c r="B105" s="24"/>
      <c r="C105" s="25"/>
      <c r="D105" s="26" t="s">
        <v>23</v>
      </c>
      <c r="E105" s="26"/>
      <c r="F105" s="26"/>
      <c r="G105" s="26"/>
      <c r="H105" s="26"/>
      <c r="I105" s="26"/>
      <c r="J105" s="26" t="s">
        <v>263</v>
      </c>
      <c r="K105" s="26" t="s">
        <v>265</v>
      </c>
      <c r="L105" s="26" t="s">
        <v>54</v>
      </c>
      <c r="M105" s="26" t="s">
        <v>55</v>
      </c>
      <c r="N105" s="28"/>
      <c r="O105" s="26"/>
      <c r="P105" s="24"/>
      <c r="Q105" s="25"/>
      <c r="R105" s="26" t="s">
        <v>29</v>
      </c>
      <c r="S105" s="26" t="s">
        <v>30</v>
      </c>
      <c r="T105" s="26"/>
      <c r="U105" s="26"/>
      <c r="V105" s="26"/>
      <c r="W105" s="26" t="s">
        <v>266</v>
      </c>
    </row>
    <row r="106" spans="1:23" ht="51" x14ac:dyDescent="0.2">
      <c r="A106" s="46">
        <v>122</v>
      </c>
      <c r="B106" s="47"/>
      <c r="C106" s="48"/>
      <c r="D106" s="49" t="s">
        <v>267</v>
      </c>
      <c r="E106" s="49"/>
      <c r="F106" s="49"/>
      <c r="G106" s="49"/>
      <c r="H106" s="49"/>
      <c r="I106" s="49"/>
      <c r="J106" s="80" t="s">
        <v>268</v>
      </c>
      <c r="K106" s="85" t="s">
        <v>269</v>
      </c>
      <c r="L106" s="49" t="s">
        <v>267</v>
      </c>
      <c r="M106" s="49" t="s">
        <v>270</v>
      </c>
      <c r="N106" s="50">
        <v>10</v>
      </c>
      <c r="O106" s="1" t="s">
        <v>43</v>
      </c>
      <c r="P106" s="47"/>
      <c r="Q106" s="48"/>
      <c r="R106" s="49" t="s">
        <v>29</v>
      </c>
      <c r="S106" s="49" t="s">
        <v>30</v>
      </c>
      <c r="T106" s="17" t="s">
        <v>31</v>
      </c>
      <c r="U106" s="17"/>
      <c r="V106" s="49"/>
      <c r="W106" s="49"/>
    </row>
    <row r="107" spans="1:23" ht="30" x14ac:dyDescent="0.25">
      <c r="A107" s="17">
        <v>138</v>
      </c>
      <c r="B107" s="19"/>
      <c r="C107" s="20"/>
      <c r="D107" s="17" t="s">
        <v>23</v>
      </c>
      <c r="J107" s="3" t="s">
        <v>271</v>
      </c>
      <c r="K107" s="3" t="s">
        <v>272</v>
      </c>
      <c r="L107" s="17" t="s">
        <v>26</v>
      </c>
      <c r="M107" s="17" t="s">
        <v>27</v>
      </c>
      <c r="N107" s="4">
        <v>10</v>
      </c>
      <c r="P107" s="19"/>
      <c r="Q107" s="20"/>
    </row>
    <row r="108" spans="1:23" ht="45" x14ac:dyDescent="0.25">
      <c r="A108" s="17">
        <v>141</v>
      </c>
      <c r="B108" s="19"/>
      <c r="C108" s="20"/>
      <c r="D108" s="17" t="s">
        <v>23</v>
      </c>
      <c r="J108" s="3" t="s">
        <v>273</v>
      </c>
      <c r="K108" s="3" t="s">
        <v>274</v>
      </c>
      <c r="L108" s="17" t="s">
        <v>26</v>
      </c>
      <c r="M108" s="17" t="s">
        <v>27</v>
      </c>
      <c r="N108" s="4">
        <v>15</v>
      </c>
      <c r="P108" s="19"/>
      <c r="Q108" s="20"/>
    </row>
    <row r="109" spans="1:23" ht="45" x14ac:dyDescent="0.25">
      <c r="A109" s="17">
        <v>102</v>
      </c>
      <c r="B109" s="19"/>
      <c r="C109" s="20"/>
      <c r="D109" s="3" t="s">
        <v>167</v>
      </c>
      <c r="J109" s="3" t="s">
        <v>275</v>
      </c>
      <c r="K109" s="3" t="s">
        <v>276</v>
      </c>
      <c r="L109" s="3" t="s">
        <v>167</v>
      </c>
      <c r="M109" s="3" t="s">
        <v>255</v>
      </c>
      <c r="N109" s="4">
        <v>30</v>
      </c>
      <c r="P109" s="19"/>
      <c r="Q109" s="20"/>
      <c r="R109" s="3" t="s">
        <v>87</v>
      </c>
    </row>
    <row r="110" spans="1:23" s="36" customFormat="1" ht="30" x14ac:dyDescent="0.25">
      <c r="A110" s="61">
        <v>103</v>
      </c>
      <c r="B110" s="62"/>
      <c r="C110" s="63"/>
      <c r="D110" s="36" t="s">
        <v>277</v>
      </c>
      <c r="J110" s="36" t="s">
        <v>197</v>
      </c>
      <c r="K110" s="36" t="s">
        <v>278</v>
      </c>
      <c r="L110" s="36" t="s">
        <v>26</v>
      </c>
      <c r="M110" s="36" t="s">
        <v>199</v>
      </c>
      <c r="N110" s="64">
        <v>20</v>
      </c>
      <c r="O110" s="36" t="s">
        <v>43</v>
      </c>
      <c r="P110" s="62"/>
      <c r="Q110" s="63"/>
      <c r="R110" s="36" t="s">
        <v>29</v>
      </c>
      <c r="S110" s="36" t="s">
        <v>30</v>
      </c>
      <c r="T110" s="36" t="s">
        <v>200</v>
      </c>
    </row>
    <row r="111" spans="1:23" s="36" customFormat="1" ht="30" x14ac:dyDescent="0.25">
      <c r="A111" s="17">
        <v>80</v>
      </c>
      <c r="B111" s="19"/>
      <c r="C111" s="20"/>
      <c r="D111" s="3" t="s">
        <v>23</v>
      </c>
      <c r="E111" s="3"/>
      <c r="F111" s="3"/>
      <c r="G111" s="3"/>
      <c r="H111" s="3"/>
      <c r="I111" s="3"/>
      <c r="J111" s="66" t="s">
        <v>201</v>
      </c>
      <c r="K111" s="3" t="s">
        <v>279</v>
      </c>
      <c r="L111" s="3" t="s">
        <v>26</v>
      </c>
      <c r="M111" s="3" t="s">
        <v>27</v>
      </c>
      <c r="N111" s="4">
        <v>10</v>
      </c>
      <c r="O111" s="3" t="s">
        <v>43</v>
      </c>
      <c r="P111" s="19"/>
      <c r="Q111" s="20"/>
      <c r="R111" s="17" t="s">
        <v>29</v>
      </c>
      <c r="S111" s="17" t="s">
        <v>30</v>
      </c>
      <c r="T111" s="17" t="s">
        <v>31</v>
      </c>
      <c r="U111" s="17"/>
      <c r="V111" s="3"/>
      <c r="W111" s="3"/>
    </row>
    <row r="112" spans="1:23" s="36" customFormat="1" ht="30" x14ac:dyDescent="0.25">
      <c r="A112" s="61">
        <v>105</v>
      </c>
      <c r="B112" s="62"/>
      <c r="C112" s="63"/>
      <c r="D112" s="36" t="s">
        <v>277</v>
      </c>
      <c r="J112" s="36" t="s">
        <v>280</v>
      </c>
      <c r="K112" s="36" t="s">
        <v>281</v>
      </c>
      <c r="L112" s="36" t="s">
        <v>26</v>
      </c>
      <c r="M112" s="36" t="s">
        <v>199</v>
      </c>
      <c r="N112" s="64">
        <v>15</v>
      </c>
      <c r="O112" s="36" t="s">
        <v>43</v>
      </c>
      <c r="P112" s="62"/>
      <c r="Q112" s="63"/>
      <c r="R112" s="36" t="s">
        <v>29</v>
      </c>
      <c r="S112" s="36" t="s">
        <v>30</v>
      </c>
      <c r="T112" s="36" t="s">
        <v>200</v>
      </c>
    </row>
    <row r="113" spans="1:23" s="36" customFormat="1" ht="30" x14ac:dyDescent="0.25">
      <c r="A113" s="61">
        <v>106</v>
      </c>
      <c r="B113" s="62"/>
      <c r="C113" s="63"/>
      <c r="D113" s="67" t="s">
        <v>277</v>
      </c>
      <c r="J113" s="36" t="s">
        <v>282</v>
      </c>
      <c r="K113" s="36" t="s">
        <v>283</v>
      </c>
      <c r="L113" s="36" t="s">
        <v>26</v>
      </c>
      <c r="M113" s="36" t="s">
        <v>27</v>
      </c>
      <c r="N113" s="64">
        <v>20</v>
      </c>
      <c r="O113" s="36" t="s">
        <v>43</v>
      </c>
      <c r="P113" s="62"/>
      <c r="Q113" s="63"/>
      <c r="R113" s="36" t="s">
        <v>29</v>
      </c>
      <c r="S113" s="36" t="s">
        <v>30</v>
      </c>
      <c r="T113" s="36" t="s">
        <v>200</v>
      </c>
      <c r="W113" s="36" t="s">
        <v>284</v>
      </c>
    </row>
    <row r="114" spans="1:23" ht="30" x14ac:dyDescent="0.25">
      <c r="A114" s="17">
        <v>107</v>
      </c>
      <c r="B114" s="19"/>
      <c r="C114" s="20"/>
      <c r="D114" s="3" t="s">
        <v>285</v>
      </c>
      <c r="J114" s="3" t="s">
        <v>286</v>
      </c>
      <c r="K114" s="3" t="s">
        <v>286</v>
      </c>
      <c r="L114" s="3" t="s">
        <v>26</v>
      </c>
      <c r="M114" s="3" t="s">
        <v>27</v>
      </c>
      <c r="N114" s="4">
        <v>20</v>
      </c>
      <c r="P114" s="19"/>
      <c r="Q114" s="20"/>
    </row>
    <row r="115" spans="1:23" ht="60" x14ac:dyDescent="0.25">
      <c r="A115" s="52">
        <v>108</v>
      </c>
      <c r="B115" s="53"/>
      <c r="C115" s="54"/>
      <c r="D115" s="55" t="s">
        <v>51</v>
      </c>
      <c r="E115" s="55"/>
      <c r="I115" s="55"/>
      <c r="J115" s="55" t="s">
        <v>287</v>
      </c>
      <c r="K115" s="74" t="s">
        <v>288</v>
      </c>
      <c r="L115" s="55" t="s">
        <v>54</v>
      </c>
      <c r="M115" s="55" t="s">
        <v>55</v>
      </c>
      <c r="N115" s="56">
        <v>15</v>
      </c>
      <c r="O115" s="55" t="s">
        <v>28</v>
      </c>
      <c r="P115" s="19"/>
      <c r="Q115" s="20"/>
      <c r="R115" s="55" t="s">
        <v>87</v>
      </c>
      <c r="S115" s="55" t="s">
        <v>87</v>
      </c>
      <c r="T115" s="55"/>
      <c r="U115" s="55" t="s">
        <v>289</v>
      </c>
      <c r="V115" s="55" t="s">
        <v>290</v>
      </c>
      <c r="W115" s="55" t="s">
        <v>291</v>
      </c>
    </row>
    <row r="116" spans="1:23" ht="45" x14ac:dyDescent="0.25">
      <c r="A116" s="17">
        <v>109</v>
      </c>
      <c r="B116" s="19"/>
      <c r="C116" s="20"/>
      <c r="D116" s="3" t="s">
        <v>51</v>
      </c>
      <c r="J116" s="3" t="s">
        <v>292</v>
      </c>
      <c r="K116" s="70" t="s">
        <v>293</v>
      </c>
      <c r="L116" s="3" t="s">
        <v>54</v>
      </c>
      <c r="M116" s="3" t="s">
        <v>55</v>
      </c>
      <c r="N116" s="4">
        <v>10</v>
      </c>
      <c r="O116" s="3" t="s">
        <v>28</v>
      </c>
      <c r="P116" s="19"/>
      <c r="Q116" s="20"/>
      <c r="R116" s="55" t="s">
        <v>29</v>
      </c>
      <c r="S116" s="55" t="s">
        <v>30</v>
      </c>
      <c r="T116" s="55" t="s">
        <v>154</v>
      </c>
      <c r="U116" s="55"/>
    </row>
    <row r="117" spans="1:23" ht="60" x14ac:dyDescent="0.25">
      <c r="A117" s="17">
        <v>110</v>
      </c>
      <c r="B117" s="19"/>
      <c r="C117" s="20"/>
      <c r="D117" s="3" t="s">
        <v>51</v>
      </c>
      <c r="J117" s="3" t="s">
        <v>294</v>
      </c>
      <c r="K117" s="70" t="s">
        <v>295</v>
      </c>
      <c r="L117" s="3" t="s">
        <v>54</v>
      </c>
      <c r="M117" s="3" t="s">
        <v>55</v>
      </c>
      <c r="N117" s="4">
        <v>15</v>
      </c>
      <c r="O117" s="3" t="s">
        <v>28</v>
      </c>
      <c r="P117" s="19"/>
      <c r="Q117" s="20"/>
      <c r="R117" s="3" t="s">
        <v>87</v>
      </c>
      <c r="S117" s="3" t="s">
        <v>87</v>
      </c>
      <c r="U117" s="3" t="s">
        <v>256</v>
      </c>
      <c r="V117" s="3" t="s">
        <v>296</v>
      </c>
    </row>
    <row r="118" spans="1:23" ht="60" x14ac:dyDescent="0.25">
      <c r="A118" s="17">
        <v>111</v>
      </c>
      <c r="B118" s="19"/>
      <c r="C118" s="20"/>
      <c r="D118" s="3" t="s">
        <v>51</v>
      </c>
      <c r="J118" s="3" t="s">
        <v>297</v>
      </c>
      <c r="K118" s="70" t="s">
        <v>298</v>
      </c>
      <c r="L118" s="3" t="s">
        <v>54</v>
      </c>
      <c r="M118" s="3" t="s">
        <v>55</v>
      </c>
      <c r="N118" s="4">
        <v>15</v>
      </c>
      <c r="O118" s="3" t="s">
        <v>28</v>
      </c>
      <c r="P118" s="19"/>
      <c r="Q118" s="20"/>
      <c r="R118" s="3" t="s">
        <v>87</v>
      </c>
      <c r="S118" s="3" t="s">
        <v>87</v>
      </c>
      <c r="U118" s="3" t="s">
        <v>256</v>
      </c>
      <c r="V118" s="3" t="s">
        <v>296</v>
      </c>
    </row>
    <row r="119" spans="1:23" s="55" customFormat="1" ht="45" x14ac:dyDescent="0.25">
      <c r="A119" s="52">
        <v>112</v>
      </c>
      <c r="B119" s="53"/>
      <c r="C119" s="54"/>
      <c r="D119" s="55" t="s">
        <v>51</v>
      </c>
      <c r="F119" s="3"/>
      <c r="G119" s="3"/>
      <c r="H119" s="3"/>
      <c r="J119" s="55" t="s">
        <v>299</v>
      </c>
      <c r="K119" s="74" t="s">
        <v>295</v>
      </c>
      <c r="L119" s="55" t="s">
        <v>54</v>
      </c>
      <c r="M119" s="55" t="s">
        <v>55</v>
      </c>
      <c r="N119" s="56">
        <v>15</v>
      </c>
      <c r="O119" s="55" t="s">
        <v>28</v>
      </c>
      <c r="P119" s="19"/>
      <c r="Q119" s="20"/>
      <c r="R119" s="55" t="s">
        <v>29</v>
      </c>
      <c r="S119" s="55" t="s">
        <v>30</v>
      </c>
    </row>
    <row r="120" spans="1:23" s="55" customFormat="1" ht="45" x14ac:dyDescent="0.25">
      <c r="A120" s="52">
        <v>113</v>
      </c>
      <c r="B120" s="53"/>
      <c r="C120" s="54"/>
      <c r="D120" s="55" t="s">
        <v>51</v>
      </c>
      <c r="F120" s="3"/>
      <c r="G120" s="3"/>
      <c r="H120" s="3"/>
      <c r="J120" s="55" t="s">
        <v>300</v>
      </c>
      <c r="K120" s="74" t="s">
        <v>301</v>
      </c>
      <c r="L120" s="55" t="s">
        <v>54</v>
      </c>
      <c r="M120" s="55" t="s">
        <v>55</v>
      </c>
      <c r="N120" s="56">
        <v>15</v>
      </c>
      <c r="O120" s="55" t="s">
        <v>28</v>
      </c>
      <c r="P120" s="19"/>
      <c r="Q120" s="20"/>
      <c r="R120" s="55" t="s">
        <v>29</v>
      </c>
      <c r="S120" s="55" t="s">
        <v>30</v>
      </c>
    </row>
    <row r="121" spans="1:23" s="41" customFormat="1" ht="45" x14ac:dyDescent="0.25">
      <c r="A121" s="38">
        <v>114</v>
      </c>
      <c r="B121" s="39"/>
      <c r="C121" s="40"/>
      <c r="D121" s="41" t="s">
        <v>51</v>
      </c>
      <c r="F121" s="3"/>
      <c r="G121" s="3"/>
      <c r="H121" s="3"/>
      <c r="J121" s="41" t="s">
        <v>302</v>
      </c>
      <c r="K121" s="73" t="s">
        <v>293</v>
      </c>
      <c r="L121" s="41" t="s">
        <v>54</v>
      </c>
      <c r="M121" s="41" t="s">
        <v>55</v>
      </c>
      <c r="N121" s="42">
        <v>15</v>
      </c>
      <c r="O121" s="41" t="s">
        <v>28</v>
      </c>
      <c r="P121" s="19"/>
      <c r="Q121" s="20"/>
      <c r="R121" s="55" t="s">
        <v>29</v>
      </c>
      <c r="S121" s="55" t="s">
        <v>30</v>
      </c>
      <c r="T121" s="41" t="s">
        <v>31</v>
      </c>
    </row>
    <row r="122" spans="1:23" s="31" customFormat="1" ht="90" x14ac:dyDescent="0.25">
      <c r="A122" s="52">
        <v>115</v>
      </c>
      <c r="B122" s="53"/>
      <c r="C122" s="54"/>
      <c r="D122" s="55" t="s">
        <v>51</v>
      </c>
      <c r="E122" s="55"/>
      <c r="F122" s="3"/>
      <c r="G122" s="3"/>
      <c r="H122" s="3"/>
      <c r="I122" s="55"/>
      <c r="J122" s="55" t="s">
        <v>303</v>
      </c>
      <c r="K122" s="74" t="s">
        <v>304</v>
      </c>
      <c r="L122" s="55" t="s">
        <v>54</v>
      </c>
      <c r="M122" s="55" t="s">
        <v>55</v>
      </c>
      <c r="N122" s="56">
        <v>15</v>
      </c>
      <c r="O122" s="55" t="s">
        <v>28</v>
      </c>
      <c r="P122" s="19"/>
      <c r="Q122" s="20"/>
      <c r="R122" s="55" t="s">
        <v>29</v>
      </c>
      <c r="S122" s="55" t="s">
        <v>30</v>
      </c>
      <c r="T122" s="55"/>
      <c r="U122" s="55"/>
      <c r="V122" s="55"/>
      <c r="W122" s="55" t="s">
        <v>305</v>
      </c>
    </row>
    <row r="123" spans="1:23" ht="45" x14ac:dyDescent="0.25">
      <c r="A123" s="17">
        <v>116</v>
      </c>
      <c r="B123" s="29"/>
      <c r="C123" s="30"/>
      <c r="D123" s="31" t="s">
        <v>51</v>
      </c>
      <c r="E123" s="31"/>
      <c r="F123" s="31"/>
      <c r="G123" s="31"/>
      <c r="H123" s="31"/>
      <c r="I123" s="31"/>
      <c r="J123" s="31" t="s">
        <v>306</v>
      </c>
      <c r="K123" s="70" t="s">
        <v>293</v>
      </c>
      <c r="L123" s="31" t="s">
        <v>54</v>
      </c>
      <c r="M123" s="31" t="s">
        <v>55</v>
      </c>
      <c r="N123" s="32"/>
      <c r="O123" s="31" t="s">
        <v>28</v>
      </c>
      <c r="P123" s="29"/>
      <c r="Q123" s="30"/>
      <c r="R123" s="31" t="s">
        <v>87</v>
      </c>
      <c r="S123" s="31" t="s">
        <v>87</v>
      </c>
      <c r="T123" s="31"/>
      <c r="U123" s="31" t="s">
        <v>133</v>
      </c>
      <c r="V123" s="31" t="s">
        <v>307</v>
      </c>
      <c r="W123" s="31"/>
    </row>
    <row r="124" spans="1:23" ht="30" x14ac:dyDescent="0.25">
      <c r="A124" s="17">
        <v>101</v>
      </c>
      <c r="B124" s="19"/>
      <c r="C124" s="20"/>
      <c r="D124" s="3" t="s">
        <v>23</v>
      </c>
      <c r="J124" s="66" t="s">
        <v>308</v>
      </c>
      <c r="K124" s="3" t="s">
        <v>309</v>
      </c>
      <c r="L124" s="3" t="s">
        <v>26</v>
      </c>
      <c r="M124" s="3" t="s">
        <v>27</v>
      </c>
      <c r="N124" s="4">
        <v>15</v>
      </c>
      <c r="O124" s="3" t="s">
        <v>43</v>
      </c>
      <c r="P124" s="19"/>
      <c r="Q124" s="20"/>
      <c r="R124" s="17" t="s">
        <v>29</v>
      </c>
      <c r="S124" s="17" t="s">
        <v>30</v>
      </c>
      <c r="T124" s="17" t="s">
        <v>31</v>
      </c>
      <c r="U124" s="17"/>
      <c r="W124" s="3" t="s">
        <v>310</v>
      </c>
    </row>
    <row r="125" spans="1:23" ht="30" x14ac:dyDescent="0.25">
      <c r="A125" s="17">
        <v>118</v>
      </c>
      <c r="B125" s="19"/>
      <c r="C125" s="20"/>
      <c r="D125" s="17" t="s">
        <v>23</v>
      </c>
      <c r="J125" s="66" t="s">
        <v>311</v>
      </c>
      <c r="K125" s="3" t="s">
        <v>312</v>
      </c>
      <c r="L125" s="3" t="s">
        <v>26</v>
      </c>
      <c r="M125" s="3" t="s">
        <v>313</v>
      </c>
      <c r="N125" s="4">
        <v>20</v>
      </c>
      <c r="P125" s="19"/>
      <c r="Q125" s="20"/>
    </row>
    <row r="126" spans="1:23" ht="30" x14ac:dyDescent="0.25">
      <c r="A126" s="17">
        <v>117</v>
      </c>
      <c r="B126" s="19"/>
      <c r="C126" s="20"/>
      <c r="D126" s="17" t="s">
        <v>23</v>
      </c>
      <c r="J126" s="66" t="s">
        <v>314</v>
      </c>
      <c r="K126" s="3" t="s">
        <v>315</v>
      </c>
      <c r="L126" s="3" t="s">
        <v>26</v>
      </c>
      <c r="M126" s="3" t="s">
        <v>27</v>
      </c>
      <c r="N126" s="4">
        <v>15</v>
      </c>
      <c r="P126" s="19"/>
      <c r="Q126" s="20"/>
    </row>
    <row r="127" spans="1:23" ht="38.25" x14ac:dyDescent="0.25">
      <c r="A127" s="17">
        <v>126</v>
      </c>
      <c r="B127" s="2"/>
      <c r="C127" s="5"/>
      <c r="D127" s="1" t="s">
        <v>267</v>
      </c>
      <c r="E127" s="1"/>
      <c r="F127" s="1"/>
      <c r="G127" s="1"/>
      <c r="H127" s="1"/>
      <c r="I127" s="1"/>
      <c r="J127" s="72" t="s">
        <v>316</v>
      </c>
      <c r="K127" s="1" t="s">
        <v>317</v>
      </c>
      <c r="L127" s="1" t="s">
        <v>267</v>
      </c>
      <c r="M127" s="1" t="s">
        <v>270</v>
      </c>
      <c r="N127" s="15">
        <v>10</v>
      </c>
      <c r="O127" s="1" t="s">
        <v>43</v>
      </c>
      <c r="P127" s="2"/>
      <c r="Q127" s="5"/>
      <c r="R127" s="1" t="s">
        <v>29</v>
      </c>
      <c r="S127" s="1" t="s">
        <v>30</v>
      </c>
      <c r="T127" s="17" t="s">
        <v>31</v>
      </c>
      <c r="U127" s="17"/>
      <c r="V127" s="1"/>
      <c r="W127" s="1"/>
    </row>
    <row r="128" spans="1:23" ht="44.25" customHeight="1" x14ac:dyDescent="0.25">
      <c r="A128" s="17">
        <v>127</v>
      </c>
      <c r="B128" s="2"/>
      <c r="C128" s="5"/>
      <c r="D128" s="1" t="s">
        <v>267</v>
      </c>
      <c r="E128" s="1"/>
      <c r="F128" s="1"/>
      <c r="G128" s="1"/>
      <c r="H128" s="1"/>
      <c r="I128" s="1"/>
      <c r="J128" s="72" t="s">
        <v>253</v>
      </c>
      <c r="K128" s="1" t="s">
        <v>318</v>
      </c>
      <c r="L128" s="1" t="s">
        <v>267</v>
      </c>
      <c r="M128" s="1" t="s">
        <v>270</v>
      </c>
      <c r="N128" s="15">
        <v>10</v>
      </c>
      <c r="O128" s="1" t="s">
        <v>43</v>
      </c>
      <c r="P128" s="2"/>
      <c r="Q128" s="5"/>
      <c r="R128" s="1" t="s">
        <v>29</v>
      </c>
      <c r="S128" s="1" t="s">
        <v>30</v>
      </c>
      <c r="T128" s="17" t="s">
        <v>31</v>
      </c>
      <c r="U128" s="17"/>
      <c r="V128" s="1"/>
      <c r="W128" s="1"/>
    </row>
    <row r="129" spans="1:23" s="51" customFormat="1" ht="51" x14ac:dyDescent="0.2">
      <c r="A129" s="17">
        <v>130</v>
      </c>
      <c r="B129" s="2"/>
      <c r="C129" s="5"/>
      <c r="D129" s="1" t="s">
        <v>267</v>
      </c>
      <c r="E129" s="1"/>
      <c r="F129" s="1"/>
      <c r="G129" s="1"/>
      <c r="H129" s="1"/>
      <c r="I129" s="1"/>
      <c r="J129" s="69" t="s">
        <v>319</v>
      </c>
      <c r="K129" s="33" t="s">
        <v>320</v>
      </c>
      <c r="L129" s="1" t="s">
        <v>267</v>
      </c>
      <c r="M129" s="1" t="s">
        <v>270</v>
      </c>
      <c r="N129" s="15">
        <v>10</v>
      </c>
      <c r="O129" s="1" t="s">
        <v>43</v>
      </c>
      <c r="P129" s="2"/>
      <c r="Q129" s="5"/>
      <c r="R129" s="1" t="s">
        <v>87</v>
      </c>
      <c r="S129" s="1" t="s">
        <v>87</v>
      </c>
      <c r="T129" s="1"/>
      <c r="U129" s="1" t="s">
        <v>321</v>
      </c>
      <c r="V129" s="1" t="s">
        <v>322</v>
      </c>
      <c r="W129" s="1"/>
    </row>
    <row r="130" spans="1:23" ht="51" x14ac:dyDescent="0.25">
      <c r="A130" s="17">
        <v>136</v>
      </c>
      <c r="B130" s="2"/>
      <c r="C130" s="5"/>
      <c r="D130" s="1" t="s">
        <v>38</v>
      </c>
      <c r="E130" s="1"/>
      <c r="F130" s="1"/>
      <c r="G130" s="1"/>
      <c r="H130" s="1"/>
      <c r="I130" s="1"/>
      <c r="J130" s="72" t="s">
        <v>323</v>
      </c>
      <c r="K130" s="1" t="s">
        <v>324</v>
      </c>
      <c r="L130" s="1" t="s">
        <v>41</v>
      </c>
      <c r="M130" s="1" t="s">
        <v>42</v>
      </c>
      <c r="N130" s="15">
        <v>10</v>
      </c>
      <c r="O130" s="1" t="s">
        <v>43</v>
      </c>
      <c r="P130" s="2"/>
      <c r="Q130" s="5"/>
      <c r="R130" s="1" t="s">
        <v>29</v>
      </c>
      <c r="S130" s="1" t="s">
        <v>30</v>
      </c>
      <c r="T130" s="1" t="s">
        <v>31</v>
      </c>
      <c r="U130" s="1"/>
      <c r="V130" s="1"/>
      <c r="W130" s="1"/>
    </row>
    <row r="131" spans="1:23" ht="30" x14ac:dyDescent="0.25">
      <c r="A131" s="17">
        <v>4</v>
      </c>
      <c r="B131" s="17"/>
      <c r="C131" s="17"/>
      <c r="D131" s="3" t="s">
        <v>51</v>
      </c>
      <c r="E131" s="17"/>
      <c r="F131" s="18"/>
      <c r="G131" s="18"/>
      <c r="H131" s="18"/>
      <c r="I131" s="17"/>
      <c r="J131" s="3" t="s">
        <v>325</v>
      </c>
      <c r="K131" s="17"/>
      <c r="L131" s="17" t="s">
        <v>267</v>
      </c>
      <c r="M131" s="17" t="s">
        <v>326</v>
      </c>
      <c r="N131" s="4">
        <v>15</v>
      </c>
      <c r="O131" s="17"/>
      <c r="P131" s="17"/>
      <c r="Q131" s="17"/>
      <c r="R131" s="17" t="s">
        <v>29</v>
      </c>
      <c r="S131" s="17" t="s">
        <v>30</v>
      </c>
      <c r="T131" s="17" t="s">
        <v>31</v>
      </c>
      <c r="U131" s="17"/>
      <c r="V131" s="17"/>
      <c r="W131" s="17"/>
    </row>
    <row r="132" spans="1:23" ht="30" x14ac:dyDescent="0.25">
      <c r="A132" s="17">
        <v>5</v>
      </c>
      <c r="B132" s="17"/>
      <c r="C132" s="17"/>
      <c r="D132" s="3" t="s">
        <v>51</v>
      </c>
      <c r="E132" s="17"/>
      <c r="F132" s="18"/>
      <c r="G132" s="18"/>
      <c r="H132" s="18"/>
      <c r="I132" s="17"/>
      <c r="J132" s="3" t="s">
        <v>327</v>
      </c>
      <c r="K132" s="17" t="s">
        <v>328</v>
      </c>
      <c r="L132" s="17" t="s">
        <v>267</v>
      </c>
      <c r="M132" s="17" t="s">
        <v>326</v>
      </c>
      <c r="N132" s="4">
        <v>30</v>
      </c>
      <c r="O132" s="17"/>
      <c r="P132" s="17"/>
      <c r="Q132" s="17"/>
      <c r="R132" s="17" t="s">
        <v>29</v>
      </c>
      <c r="S132" s="17" t="s">
        <v>30</v>
      </c>
      <c r="T132" s="17" t="s">
        <v>31</v>
      </c>
      <c r="U132" s="17"/>
      <c r="V132" s="17"/>
      <c r="W132" s="17"/>
    </row>
    <row r="133" spans="1:23" ht="45" x14ac:dyDescent="0.25">
      <c r="A133" s="17">
        <v>99</v>
      </c>
      <c r="B133" s="24"/>
      <c r="C133" s="25"/>
      <c r="D133" s="26" t="s">
        <v>23</v>
      </c>
      <c r="E133" s="26"/>
      <c r="F133" s="26"/>
      <c r="G133" s="26"/>
      <c r="H133" s="26"/>
      <c r="I133" s="26"/>
      <c r="J133" s="26" t="s">
        <v>263</v>
      </c>
      <c r="K133" s="26" t="s">
        <v>329</v>
      </c>
      <c r="L133" s="26" t="s">
        <v>267</v>
      </c>
      <c r="M133" s="26" t="s">
        <v>326</v>
      </c>
      <c r="N133" s="28"/>
      <c r="O133" s="26"/>
      <c r="P133" s="24"/>
      <c r="Q133" s="25"/>
      <c r="R133" s="26"/>
      <c r="S133" s="26"/>
      <c r="T133" s="26"/>
      <c r="U133" s="26"/>
      <c r="V133" s="26"/>
      <c r="W133" s="26"/>
    </row>
    <row r="134" spans="1:23" ht="216" customHeight="1" x14ac:dyDescent="0.25">
      <c r="A134" s="17">
        <v>123</v>
      </c>
      <c r="B134" s="2"/>
      <c r="C134" s="5"/>
      <c r="D134" s="1" t="s">
        <v>51</v>
      </c>
      <c r="E134" s="1"/>
      <c r="F134" s="1"/>
      <c r="G134" s="1"/>
      <c r="H134" s="1"/>
      <c r="I134" s="1"/>
      <c r="J134" s="1" t="s">
        <v>330</v>
      </c>
      <c r="K134" s="71" t="s">
        <v>331</v>
      </c>
      <c r="L134" s="1" t="s">
        <v>267</v>
      </c>
      <c r="M134" s="1" t="s">
        <v>270</v>
      </c>
      <c r="N134" s="15">
        <v>20</v>
      </c>
      <c r="O134" s="1"/>
      <c r="P134" s="2"/>
      <c r="Q134" s="5"/>
      <c r="R134" s="1" t="s">
        <v>87</v>
      </c>
      <c r="S134" s="1"/>
      <c r="T134" s="1"/>
      <c r="U134" s="1" t="s">
        <v>43</v>
      </c>
      <c r="V134" s="1" t="s">
        <v>332</v>
      </c>
      <c r="W134" s="1" t="s">
        <v>333</v>
      </c>
    </row>
    <row r="135" spans="1:23" ht="102.75" customHeight="1" x14ac:dyDescent="0.25">
      <c r="A135" s="17">
        <v>124</v>
      </c>
      <c r="B135" s="2"/>
      <c r="C135" s="5"/>
      <c r="D135" s="1" t="s">
        <v>267</v>
      </c>
      <c r="E135" s="1"/>
      <c r="F135" s="1"/>
      <c r="G135" s="1"/>
      <c r="H135" s="1"/>
      <c r="I135" s="1"/>
      <c r="J135" s="1" t="s">
        <v>334</v>
      </c>
      <c r="K135" s="1"/>
      <c r="L135" s="1" t="s">
        <v>267</v>
      </c>
      <c r="M135" s="1" t="s">
        <v>270</v>
      </c>
      <c r="N135" s="15">
        <v>20</v>
      </c>
      <c r="O135" s="1"/>
      <c r="P135" s="2"/>
      <c r="Q135" s="5"/>
      <c r="R135" s="1"/>
      <c r="S135" s="1"/>
      <c r="T135" s="1"/>
      <c r="U135" s="1"/>
      <c r="V135" s="1"/>
      <c r="W135" s="1"/>
    </row>
    <row r="136" spans="1:23" ht="25.5" x14ac:dyDescent="0.25">
      <c r="A136" s="17">
        <v>125</v>
      </c>
      <c r="B136" s="2"/>
      <c r="C136" s="5"/>
      <c r="D136" s="1" t="s">
        <v>51</v>
      </c>
      <c r="E136" s="1"/>
      <c r="F136" s="1"/>
      <c r="G136" s="1"/>
      <c r="H136" s="1"/>
      <c r="I136" s="1"/>
      <c r="J136" s="1" t="s">
        <v>335</v>
      </c>
      <c r="K136" s="1"/>
      <c r="L136" s="1" t="s">
        <v>267</v>
      </c>
      <c r="M136" s="1" t="s">
        <v>270</v>
      </c>
      <c r="N136" s="15">
        <v>20</v>
      </c>
      <c r="O136" s="1"/>
      <c r="P136" s="2"/>
      <c r="Q136" s="5"/>
      <c r="R136" s="1"/>
      <c r="S136" s="1"/>
      <c r="T136" s="1"/>
      <c r="U136" s="1"/>
      <c r="V136" s="1"/>
      <c r="W136" s="1"/>
    </row>
    <row r="137" spans="1:23" ht="25.5" x14ac:dyDescent="0.25">
      <c r="A137" s="17">
        <v>128</v>
      </c>
      <c r="B137" s="2"/>
      <c r="C137" s="5"/>
      <c r="D137" s="1" t="s">
        <v>267</v>
      </c>
      <c r="E137" s="1"/>
      <c r="F137" s="1"/>
      <c r="G137" s="1"/>
      <c r="H137" s="1"/>
      <c r="I137" s="1"/>
      <c r="J137" s="83" t="s">
        <v>336</v>
      </c>
      <c r="K137" s="83" t="s">
        <v>337</v>
      </c>
      <c r="L137" s="1" t="s">
        <v>267</v>
      </c>
      <c r="M137" s="1" t="s">
        <v>270</v>
      </c>
      <c r="N137" s="15">
        <v>20</v>
      </c>
      <c r="O137" s="1"/>
      <c r="P137" s="2"/>
      <c r="Q137" s="5"/>
      <c r="R137" s="1"/>
      <c r="S137" s="1"/>
      <c r="T137" s="1"/>
      <c r="U137" s="1"/>
      <c r="V137" s="1"/>
      <c r="W137" s="1"/>
    </row>
    <row r="138" spans="1:23" ht="25.5" x14ac:dyDescent="0.25">
      <c r="A138" s="17">
        <v>129</v>
      </c>
      <c r="B138" s="2"/>
      <c r="C138" s="5"/>
      <c r="D138" s="1" t="s">
        <v>267</v>
      </c>
      <c r="E138" s="1"/>
      <c r="F138" s="1"/>
      <c r="G138" s="1"/>
      <c r="H138" s="1"/>
      <c r="I138" s="1"/>
      <c r="J138" s="1" t="s">
        <v>336</v>
      </c>
      <c r="K138" s="1" t="s">
        <v>338</v>
      </c>
      <c r="L138" s="1" t="s">
        <v>267</v>
      </c>
      <c r="M138" s="1" t="s">
        <v>270</v>
      </c>
      <c r="N138" s="15">
        <v>20</v>
      </c>
      <c r="O138" s="1"/>
      <c r="P138" s="2"/>
      <c r="Q138" s="5"/>
      <c r="R138" s="1"/>
      <c r="S138" s="1"/>
      <c r="T138" s="1"/>
      <c r="U138" s="1"/>
      <c r="V138" s="1"/>
      <c r="W138" s="1"/>
    </row>
    <row r="139" spans="1:23" ht="38.25" x14ac:dyDescent="0.25">
      <c r="A139" s="17">
        <v>131</v>
      </c>
      <c r="B139" s="2"/>
      <c r="C139" s="5"/>
      <c r="D139" s="1" t="s">
        <v>267</v>
      </c>
      <c r="E139" s="1"/>
      <c r="F139" s="1"/>
      <c r="G139" s="1"/>
      <c r="H139" s="1"/>
      <c r="I139" s="1"/>
      <c r="J139" s="1" t="s">
        <v>339</v>
      </c>
      <c r="K139" s="1" t="s">
        <v>340</v>
      </c>
      <c r="L139" s="1" t="s">
        <v>267</v>
      </c>
      <c r="M139" s="1" t="s">
        <v>270</v>
      </c>
      <c r="N139" s="15">
        <v>10</v>
      </c>
      <c r="O139" s="1"/>
      <c r="P139" s="2"/>
      <c r="Q139" s="5"/>
      <c r="R139" s="1"/>
      <c r="S139" s="1"/>
      <c r="T139" s="1"/>
      <c r="U139" s="1"/>
      <c r="V139" s="1"/>
      <c r="W139" s="1"/>
    </row>
    <row r="140" spans="1:23" ht="51" x14ac:dyDescent="0.2">
      <c r="A140" s="17">
        <v>133</v>
      </c>
      <c r="B140" s="2"/>
      <c r="C140" s="5"/>
      <c r="D140" s="1" t="s">
        <v>167</v>
      </c>
      <c r="E140" s="1"/>
      <c r="F140" s="1"/>
      <c r="G140" s="1"/>
      <c r="H140" s="1"/>
      <c r="I140" s="1"/>
      <c r="J140" s="33" t="s">
        <v>319</v>
      </c>
      <c r="K140" s="33" t="s">
        <v>341</v>
      </c>
      <c r="L140" s="1" t="s">
        <v>167</v>
      </c>
      <c r="M140" s="1" t="s">
        <v>170</v>
      </c>
      <c r="N140" s="15">
        <v>15</v>
      </c>
      <c r="O140" s="1"/>
      <c r="P140" s="2"/>
      <c r="Q140" s="5"/>
      <c r="R140" s="1" t="s">
        <v>29</v>
      </c>
      <c r="S140" s="1" t="s">
        <v>30</v>
      </c>
      <c r="T140" s="1"/>
      <c r="U140" s="1"/>
      <c r="V140" s="1"/>
      <c r="W140" s="1" t="s">
        <v>342</v>
      </c>
    </row>
    <row r="141" spans="1:23" ht="38.25" x14ac:dyDescent="0.25">
      <c r="A141" s="17">
        <v>132</v>
      </c>
      <c r="B141" s="2"/>
      <c r="C141" s="5"/>
      <c r="D141" s="1" t="s">
        <v>267</v>
      </c>
      <c r="E141" s="1"/>
      <c r="F141" s="1"/>
      <c r="G141" s="1"/>
      <c r="H141" s="1"/>
      <c r="I141" s="1"/>
      <c r="J141" s="1" t="s">
        <v>343</v>
      </c>
      <c r="K141" s="1" t="s">
        <v>344</v>
      </c>
      <c r="L141" s="1" t="s">
        <v>267</v>
      </c>
      <c r="M141" s="1" t="s">
        <v>270</v>
      </c>
      <c r="N141" s="15">
        <v>10</v>
      </c>
      <c r="O141" s="1"/>
      <c r="P141" s="2"/>
      <c r="Q141" s="5"/>
      <c r="R141" s="1"/>
      <c r="S141" s="1"/>
      <c r="T141" s="1"/>
      <c r="U141" s="1"/>
      <c r="V141" s="1"/>
      <c r="W141" s="1"/>
    </row>
    <row r="142" spans="1:23" ht="38.25" x14ac:dyDescent="0.25">
      <c r="A142" s="17">
        <v>134</v>
      </c>
      <c r="B142" s="2"/>
      <c r="C142" s="5"/>
      <c r="D142" s="1" t="s">
        <v>38</v>
      </c>
      <c r="E142" s="1"/>
      <c r="F142" s="1"/>
      <c r="G142" s="1"/>
      <c r="H142" s="1"/>
      <c r="I142" s="1"/>
      <c r="J142" s="81" t="s">
        <v>345</v>
      </c>
      <c r="K142" s="1" t="s">
        <v>346</v>
      </c>
      <c r="L142" s="1" t="s">
        <v>41</v>
      </c>
      <c r="M142" s="1" t="s">
        <v>42</v>
      </c>
      <c r="N142" s="15">
        <v>20</v>
      </c>
      <c r="O142" s="1" t="s">
        <v>43</v>
      </c>
      <c r="P142" s="2"/>
      <c r="Q142" s="5"/>
      <c r="R142" s="1" t="s">
        <v>29</v>
      </c>
      <c r="S142" s="1"/>
      <c r="T142" s="1" t="s">
        <v>31</v>
      </c>
      <c r="U142" s="1"/>
      <c r="V142" s="1"/>
      <c r="W142" s="1"/>
    </row>
    <row r="143" spans="1:23" ht="53.25" customHeight="1" x14ac:dyDescent="0.2">
      <c r="A143" s="17">
        <v>135</v>
      </c>
      <c r="B143" s="43"/>
      <c r="C143" s="44"/>
      <c r="D143" s="45" t="s">
        <v>38</v>
      </c>
      <c r="E143" s="45"/>
      <c r="F143" s="45"/>
      <c r="G143" s="45"/>
      <c r="H143" s="45"/>
      <c r="I143" s="45"/>
      <c r="J143" s="82" t="s">
        <v>319</v>
      </c>
      <c r="K143" s="45" t="s">
        <v>347</v>
      </c>
      <c r="L143" s="45" t="s">
        <v>225</v>
      </c>
      <c r="M143" s="45" t="s">
        <v>226</v>
      </c>
      <c r="N143" s="34">
        <v>15</v>
      </c>
      <c r="O143" s="45"/>
      <c r="P143" s="43"/>
      <c r="Q143" s="44"/>
      <c r="R143" s="45"/>
      <c r="S143" s="45"/>
      <c r="T143" s="45"/>
      <c r="U143" s="45"/>
      <c r="V143" s="45"/>
      <c r="W143" s="45"/>
    </row>
    <row r="144" spans="1:23" ht="30" x14ac:dyDescent="0.25">
      <c r="A144" s="17">
        <v>119</v>
      </c>
      <c r="B144" s="19"/>
      <c r="C144" s="20"/>
      <c r="D144" s="17" t="s">
        <v>23</v>
      </c>
      <c r="J144" s="66" t="s">
        <v>348</v>
      </c>
      <c r="K144" s="3" t="s">
        <v>349</v>
      </c>
      <c r="L144" s="17" t="s">
        <v>26</v>
      </c>
      <c r="M144" s="17" t="s">
        <v>27</v>
      </c>
      <c r="N144" s="4">
        <v>15</v>
      </c>
      <c r="P144" s="19"/>
      <c r="Q144" s="20"/>
    </row>
    <row r="145" spans="1:23" ht="45" x14ac:dyDescent="0.25">
      <c r="A145" s="17">
        <v>139</v>
      </c>
      <c r="B145" s="19"/>
      <c r="C145" s="20"/>
      <c r="D145" s="17" t="s">
        <v>23</v>
      </c>
      <c r="J145" s="66" t="s">
        <v>350</v>
      </c>
      <c r="K145" s="3" t="s">
        <v>351</v>
      </c>
      <c r="L145" s="17" t="s">
        <v>26</v>
      </c>
      <c r="M145" s="17" t="s">
        <v>27</v>
      </c>
      <c r="N145" s="4">
        <v>5</v>
      </c>
      <c r="O145" s="3" t="s">
        <v>43</v>
      </c>
      <c r="P145" s="19"/>
      <c r="Q145" s="20"/>
      <c r="R145" s="17" t="s">
        <v>29</v>
      </c>
      <c r="S145" s="17" t="s">
        <v>30</v>
      </c>
      <c r="T145" s="17" t="s">
        <v>31</v>
      </c>
      <c r="U145" s="17"/>
    </row>
    <row r="146" spans="1:23" ht="45" x14ac:dyDescent="0.25">
      <c r="A146" s="17">
        <v>140</v>
      </c>
      <c r="B146" s="19"/>
      <c r="C146" s="20"/>
      <c r="D146" s="17" t="s">
        <v>23</v>
      </c>
      <c r="J146" s="66" t="s">
        <v>352</v>
      </c>
      <c r="K146" s="3" t="s">
        <v>353</v>
      </c>
      <c r="L146" s="17" t="s">
        <v>26</v>
      </c>
      <c r="M146" s="17" t="s">
        <v>27</v>
      </c>
      <c r="N146" s="4">
        <v>30</v>
      </c>
      <c r="O146" s="3" t="s">
        <v>43</v>
      </c>
      <c r="P146" s="17" t="s">
        <v>29</v>
      </c>
      <c r="Q146" s="17" t="s">
        <v>30</v>
      </c>
      <c r="R146" s="17" t="s">
        <v>29</v>
      </c>
      <c r="S146" s="17" t="s">
        <v>30</v>
      </c>
      <c r="T146" s="17" t="s">
        <v>31</v>
      </c>
      <c r="U146" s="17"/>
    </row>
    <row r="147" spans="1:23" ht="30" x14ac:dyDescent="0.25">
      <c r="A147" s="17">
        <v>78</v>
      </c>
      <c r="B147" s="24"/>
      <c r="C147" s="25"/>
      <c r="D147" s="26" t="s">
        <v>23</v>
      </c>
      <c r="E147" s="26"/>
      <c r="F147" s="26"/>
      <c r="G147" s="26"/>
      <c r="H147" s="26"/>
      <c r="I147" s="26"/>
      <c r="J147" s="26" t="s">
        <v>186</v>
      </c>
      <c r="K147" s="26" t="s">
        <v>187</v>
      </c>
      <c r="L147" s="26" t="s">
        <v>26</v>
      </c>
      <c r="M147" s="26" t="s">
        <v>27</v>
      </c>
      <c r="N147" s="28"/>
      <c r="O147" s="26"/>
      <c r="P147" s="24"/>
      <c r="Q147" s="25"/>
      <c r="R147" s="26"/>
      <c r="S147" s="26"/>
      <c r="T147" s="26"/>
      <c r="U147" s="26"/>
      <c r="V147" s="26"/>
      <c r="W147" s="26"/>
    </row>
    <row r="148" spans="1:23" ht="30" x14ac:dyDescent="0.25">
      <c r="A148" s="17">
        <v>100</v>
      </c>
      <c r="B148" s="19"/>
      <c r="C148" s="20"/>
      <c r="D148" s="3" t="s">
        <v>23</v>
      </c>
      <c r="J148" s="3" t="s">
        <v>263</v>
      </c>
      <c r="K148" s="3" t="s">
        <v>354</v>
      </c>
      <c r="L148" s="3" t="s">
        <v>26</v>
      </c>
      <c r="M148" s="3" t="s">
        <v>27</v>
      </c>
      <c r="N148" s="4">
        <v>5</v>
      </c>
      <c r="O148" s="3" t="s">
        <v>43</v>
      </c>
      <c r="P148" s="19"/>
      <c r="Q148" s="20"/>
      <c r="R148" s="3" t="s">
        <v>29</v>
      </c>
      <c r="S148" s="3" t="s">
        <v>30</v>
      </c>
      <c r="T148" s="3" t="s">
        <v>31</v>
      </c>
    </row>
    <row r="149" spans="1:23" ht="45" x14ac:dyDescent="0.25">
      <c r="A149" s="15">
        <v>142</v>
      </c>
      <c r="B149" s="2"/>
      <c r="C149" s="5"/>
      <c r="D149" s="1" t="s">
        <v>167</v>
      </c>
      <c r="E149" s="1"/>
      <c r="F149" s="1"/>
      <c r="G149" s="1"/>
      <c r="H149" s="1"/>
      <c r="I149" s="1"/>
      <c r="J149" s="1" t="s">
        <v>355</v>
      </c>
      <c r="K149" s="1" t="s">
        <v>356</v>
      </c>
      <c r="L149" s="1" t="s">
        <v>167</v>
      </c>
      <c r="M149" s="3" t="s">
        <v>255</v>
      </c>
      <c r="N149" s="15">
        <v>30</v>
      </c>
      <c r="O149" s="1"/>
      <c r="P149" s="2"/>
      <c r="Q149" s="5"/>
      <c r="R149" s="1" t="s">
        <v>87</v>
      </c>
      <c r="S149" s="1"/>
      <c r="T149" s="1"/>
      <c r="U149" s="1"/>
      <c r="V149" s="1"/>
      <c r="W149" s="1"/>
    </row>
    <row r="150" spans="1:23" x14ac:dyDescent="0.25">
      <c r="A150" s="15"/>
      <c r="B150" s="2"/>
      <c r="C150" s="5">
        <f>SUM(Table13[Tiempo Estimado (Hrs.)])</f>
        <v>0</v>
      </c>
      <c r="D150" s="1"/>
      <c r="E150" s="1"/>
      <c r="F150" s="1"/>
      <c r="G150" s="1"/>
      <c r="H150" s="1"/>
      <c r="I150" s="1"/>
      <c r="J150" s="1"/>
      <c r="K150" s="1"/>
      <c r="L150" s="1"/>
      <c r="M150" s="1"/>
      <c r="N150" s="1">
        <f>SUM(N8:N149)</f>
        <v>1830</v>
      </c>
      <c r="O150" s="1"/>
      <c r="P150" s="2"/>
      <c r="Q150" s="5">
        <f>SUM(Table13[Tiempo Real (Hrs.)])</f>
        <v>0</v>
      </c>
      <c r="R150" s="1"/>
      <c r="S150" s="1"/>
      <c r="T150" s="1"/>
      <c r="U150" s="1"/>
      <c r="V150" s="1"/>
      <c r="W150" s="1"/>
    </row>
    <row r="151" spans="1:23" x14ac:dyDescent="0.25">
      <c r="N151" s="35"/>
    </row>
    <row r="241" spans="1:23" s="10" customFormat="1" x14ac:dyDescent="0.25">
      <c r="A241" s="3"/>
      <c r="B241" s="3"/>
      <c r="C241" s="3"/>
      <c r="D241" s="3"/>
      <c r="E241" s="3"/>
      <c r="F241" s="3"/>
      <c r="G241" s="3"/>
      <c r="H241" s="3"/>
      <c r="I241" s="3"/>
      <c r="J241" s="3"/>
      <c r="K241" s="3"/>
      <c r="L241" s="3"/>
      <c r="M241" s="3"/>
      <c r="N241" s="3"/>
      <c r="O241" s="3"/>
      <c r="P241" s="3"/>
      <c r="Q241" s="3"/>
      <c r="R241" s="3"/>
      <c r="S241" s="3"/>
      <c r="T241" s="3"/>
      <c r="U241" s="3"/>
      <c r="V241" s="3"/>
      <c r="W241" s="3"/>
    </row>
    <row r="452" spans="1:23" s="10" customFormat="1" x14ac:dyDescent="0.25">
      <c r="A452" s="3"/>
      <c r="B452" s="3"/>
      <c r="C452" s="3"/>
      <c r="D452" s="3"/>
      <c r="E452" s="3"/>
      <c r="F452" s="3"/>
      <c r="G452" s="3"/>
      <c r="H452" s="3"/>
      <c r="I452" s="3"/>
      <c r="J452" s="3"/>
      <c r="K452" s="3"/>
      <c r="L452" s="3"/>
      <c r="M452" s="3"/>
      <c r="N452" s="3"/>
      <c r="O452" s="3"/>
      <c r="P452" s="3"/>
      <c r="Q452" s="3"/>
      <c r="R452" s="3"/>
      <c r="S452" s="3"/>
      <c r="T452" s="3"/>
      <c r="U452" s="3"/>
      <c r="V452" s="3"/>
      <c r="W452" s="3"/>
    </row>
    <row r="472" spans="1:23" s="10" customFormat="1" x14ac:dyDescent="0.25">
      <c r="A472" s="3"/>
      <c r="B472" s="3"/>
      <c r="C472" s="3"/>
      <c r="D472" s="3"/>
      <c r="E472" s="3"/>
      <c r="F472" s="3"/>
      <c r="G472" s="3"/>
      <c r="H472" s="3"/>
      <c r="I472" s="3"/>
      <c r="J472" s="3"/>
      <c r="K472" s="3"/>
      <c r="L472" s="3"/>
      <c r="M472" s="3"/>
      <c r="N472" s="3"/>
      <c r="O472" s="3"/>
      <c r="P472" s="3"/>
      <c r="Q472" s="3"/>
      <c r="R472" s="3"/>
      <c r="S472" s="3"/>
      <c r="T472" s="3"/>
      <c r="U472" s="3"/>
      <c r="V472" s="3"/>
      <c r="W472" s="3"/>
    </row>
    <row r="492" spans="1:23" s="10" customFormat="1" x14ac:dyDescent="0.25">
      <c r="A492" s="3"/>
      <c r="B492" s="3"/>
      <c r="C492" s="3"/>
      <c r="D492" s="3"/>
      <c r="E492" s="3"/>
      <c r="F492" s="3"/>
      <c r="G492" s="3"/>
      <c r="H492" s="3"/>
      <c r="I492" s="3"/>
      <c r="J492" s="3"/>
      <c r="K492" s="3"/>
      <c r="L492" s="3"/>
      <c r="M492" s="3"/>
      <c r="N492" s="3"/>
      <c r="O492" s="3"/>
      <c r="P492" s="3"/>
      <c r="Q492" s="3"/>
      <c r="R492" s="3"/>
      <c r="S492" s="3"/>
      <c r="T492" s="3"/>
      <c r="U492" s="3"/>
      <c r="V492" s="3"/>
      <c r="W492" s="3"/>
    </row>
    <row r="519" spans="1:23" s="10" customFormat="1" x14ac:dyDescent="0.25">
      <c r="A519" s="3"/>
      <c r="B519" s="3"/>
      <c r="C519" s="3"/>
      <c r="D519" s="3"/>
      <c r="E519" s="3"/>
      <c r="F519" s="3"/>
      <c r="G519" s="3"/>
      <c r="H519" s="3"/>
      <c r="I519" s="3"/>
      <c r="J519" s="3"/>
      <c r="K519" s="3"/>
      <c r="L519" s="3"/>
      <c r="M519" s="3"/>
      <c r="N519" s="3"/>
      <c r="O519" s="3"/>
      <c r="P519" s="3"/>
      <c r="Q519" s="3"/>
      <c r="R519" s="3"/>
      <c r="S519" s="3"/>
      <c r="T519" s="3"/>
      <c r="U519" s="3"/>
      <c r="V519" s="3"/>
      <c r="W519" s="3"/>
    </row>
    <row r="541" spans="1:23" s="10" customFormat="1" x14ac:dyDescent="0.25">
      <c r="A541" s="3"/>
      <c r="B541" s="3"/>
      <c r="C541" s="3"/>
      <c r="D541" s="3"/>
      <c r="E541" s="3"/>
      <c r="F541" s="3"/>
      <c r="G541" s="3"/>
      <c r="H541" s="3"/>
      <c r="I541" s="3"/>
      <c r="J541" s="3"/>
      <c r="K541" s="3"/>
      <c r="L541" s="3"/>
      <c r="M541" s="3"/>
      <c r="N541" s="3"/>
      <c r="O541" s="3"/>
      <c r="P541" s="3"/>
      <c r="Q541" s="3"/>
      <c r="R541" s="3"/>
      <c r="S541" s="3"/>
      <c r="T541" s="3"/>
      <c r="U541" s="3"/>
      <c r="V541" s="3"/>
      <c r="W541" s="3"/>
    </row>
    <row r="578" spans="1:23" s="10" customFormat="1" x14ac:dyDescent="0.25">
      <c r="A578" s="3"/>
      <c r="B578" s="3"/>
      <c r="C578" s="3"/>
      <c r="D578" s="3"/>
      <c r="E578" s="3"/>
      <c r="F578" s="3"/>
      <c r="G578" s="3"/>
      <c r="H578" s="3"/>
      <c r="I578" s="3"/>
      <c r="J578" s="3"/>
      <c r="K578" s="3"/>
      <c r="L578" s="3"/>
      <c r="M578" s="3"/>
      <c r="N578" s="3"/>
      <c r="O578" s="3"/>
      <c r="P578" s="3"/>
      <c r="Q578" s="3"/>
      <c r="R578" s="3"/>
      <c r="S578" s="3"/>
      <c r="T578" s="3"/>
      <c r="U578" s="3"/>
      <c r="V578" s="3"/>
      <c r="W578" s="3"/>
    </row>
    <row r="603" spans="1:23" s="10" customFormat="1" x14ac:dyDescent="0.25">
      <c r="A603" s="3"/>
      <c r="B603" s="3"/>
      <c r="C603" s="3"/>
      <c r="D603" s="3"/>
      <c r="E603" s="3"/>
      <c r="F603" s="3"/>
      <c r="G603" s="3"/>
      <c r="H603" s="3"/>
      <c r="I603" s="3"/>
      <c r="J603" s="3"/>
      <c r="K603" s="3"/>
      <c r="L603" s="3"/>
      <c r="M603" s="3"/>
      <c r="N603" s="3"/>
      <c r="O603" s="3"/>
      <c r="P603" s="3"/>
      <c r="Q603" s="3"/>
      <c r="R603" s="3"/>
      <c r="S603" s="3"/>
      <c r="T603" s="3"/>
      <c r="U603" s="3"/>
      <c r="V603" s="3"/>
      <c r="W603" s="3"/>
    </row>
    <row r="631" spans="1:23" s="10" customFormat="1" x14ac:dyDescent="0.25">
      <c r="A631" s="3"/>
      <c r="B631" s="3"/>
      <c r="C631" s="3"/>
      <c r="D631" s="3"/>
      <c r="E631" s="3"/>
      <c r="F631" s="3"/>
      <c r="G631" s="3"/>
      <c r="H631" s="3"/>
      <c r="I631" s="3"/>
      <c r="J631" s="3"/>
      <c r="K631" s="3"/>
      <c r="L631" s="3"/>
      <c r="M631" s="3"/>
      <c r="N631" s="3"/>
      <c r="O631" s="3"/>
      <c r="P631" s="3"/>
      <c r="Q631" s="3"/>
      <c r="R631" s="3"/>
      <c r="S631" s="3"/>
      <c r="T631" s="3"/>
      <c r="U631" s="3"/>
      <c r="V631" s="3"/>
      <c r="W631" s="3"/>
    </row>
    <row r="640" spans="1:23" s="11" customFormat="1" x14ac:dyDescent="0.25">
      <c r="A640" s="3"/>
      <c r="B640" s="3"/>
      <c r="C640" s="3"/>
      <c r="D640" s="3"/>
      <c r="E640" s="3"/>
      <c r="F640" s="3"/>
      <c r="G640" s="3"/>
      <c r="H640" s="3"/>
      <c r="I640" s="3"/>
      <c r="J640" s="3"/>
      <c r="K640" s="3"/>
      <c r="L640" s="3"/>
      <c r="M640" s="3"/>
      <c r="N640" s="3"/>
      <c r="O640" s="3"/>
      <c r="P640" s="3"/>
      <c r="Q640" s="3"/>
      <c r="R640" s="3"/>
      <c r="S640" s="3"/>
      <c r="T640" s="3"/>
      <c r="U640" s="3"/>
      <c r="V640" s="3"/>
      <c r="W640" s="3"/>
    </row>
    <row r="646" spans="1:23" s="10" customFormat="1" x14ac:dyDescent="0.25">
      <c r="A646" s="3"/>
      <c r="B646" s="3"/>
      <c r="C646" s="3"/>
      <c r="D646" s="3"/>
      <c r="E646" s="3"/>
      <c r="F646" s="3"/>
      <c r="G646" s="3"/>
      <c r="H646" s="3"/>
      <c r="I646" s="3"/>
      <c r="J646" s="3"/>
      <c r="K646" s="3"/>
      <c r="L646" s="3"/>
      <c r="M646" s="3"/>
      <c r="N646" s="3"/>
      <c r="O646" s="3"/>
      <c r="P646" s="3"/>
      <c r="Q646" s="3"/>
      <c r="R646" s="3"/>
      <c r="S646" s="3"/>
      <c r="T646" s="3"/>
      <c r="U646" s="3"/>
      <c r="V646" s="3"/>
      <c r="W646" s="3"/>
    </row>
    <row r="724" spans="1:23" s="12" customFormat="1" x14ac:dyDescent="0.25">
      <c r="A724" s="3"/>
      <c r="B724" s="3"/>
      <c r="C724" s="3"/>
      <c r="D724" s="3"/>
      <c r="E724" s="3"/>
      <c r="F724" s="3"/>
      <c r="G724" s="3"/>
      <c r="H724" s="3"/>
      <c r="I724" s="3"/>
      <c r="J724" s="3"/>
      <c r="K724" s="3"/>
      <c r="L724" s="3"/>
      <c r="M724" s="3"/>
      <c r="N724" s="3"/>
      <c r="O724" s="3"/>
      <c r="P724" s="3"/>
      <c r="Q724" s="3"/>
      <c r="R724" s="3"/>
      <c r="S724" s="3"/>
      <c r="T724" s="3"/>
      <c r="U724" s="3"/>
      <c r="V724" s="3"/>
      <c r="W724" s="3"/>
    </row>
    <row r="831" spans="1:23" s="10" customFormat="1" x14ac:dyDescent="0.25">
      <c r="A831" s="3"/>
      <c r="B831" s="3"/>
      <c r="C831" s="3"/>
      <c r="D831" s="3"/>
      <c r="E831" s="3"/>
      <c r="F831" s="3"/>
      <c r="G831" s="3"/>
      <c r="H831" s="3"/>
      <c r="I831" s="3"/>
      <c r="J831" s="3"/>
      <c r="K831" s="3"/>
      <c r="L831" s="3"/>
      <c r="M831" s="3"/>
      <c r="N831" s="3"/>
      <c r="O831" s="3"/>
      <c r="P831" s="3"/>
      <c r="Q831" s="3"/>
      <c r="R831" s="3"/>
      <c r="S831" s="3"/>
      <c r="T831" s="3"/>
      <c r="U831" s="3"/>
      <c r="V831" s="3"/>
      <c r="W831" s="3"/>
    </row>
  </sheetData>
  <mergeCells count="1">
    <mergeCell ref="A6:W6"/>
  </mergeCells>
  <dataValidations count="2">
    <dataValidation type="list" allowBlank="1" showInputMessage="1" showErrorMessage="1" sqref="R8:R149 P146" xr:uid="{00000000-0002-0000-0000-000000000000}">
      <formula1>"Aprobada,Pendiente,Rechazada,Cancelada"</formula1>
    </dataValidation>
    <dataValidation type="list" allowBlank="1" showInputMessage="1" showErrorMessage="1" sqref="Q146 S8:S149" xr:uid="{00000000-0002-0000-0000-000001000000}">
      <formula1>"Pendiente,Cancelar,Aprobar,Modificar Configuración,Modificar Proceso,Modificar Funcionalidad"</formula1>
    </dataValidation>
  </dataValidations>
  <pageMargins left="0.7" right="0.7" top="0.75" bottom="0.75" header="0.3" footer="0.3"/>
  <pageSetup orientation="portrait"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6A91F-E043-4D52-9AC8-B1D218A4EA3F}">
  <dimension ref="A1:K12"/>
  <sheetViews>
    <sheetView tabSelected="1" zoomScale="86" zoomScaleNormal="86" workbookViewId="0">
      <selection activeCell="C15" sqref="C15"/>
    </sheetView>
  </sheetViews>
  <sheetFormatPr baseColWidth="10" defaultRowHeight="15" x14ac:dyDescent="0.25"/>
  <cols>
    <col min="1" max="1" width="8.5703125" style="101" bestFit="1" customWidth="1"/>
    <col min="2" max="2" width="14" style="101" bestFit="1" customWidth="1"/>
    <col min="3" max="3" width="45.140625" style="101" bestFit="1" customWidth="1"/>
    <col min="4" max="4" width="15.140625" style="101" bestFit="1" customWidth="1"/>
    <col min="5" max="5" width="28.42578125" style="18" bestFit="1" customWidth="1"/>
    <col min="6" max="6" width="27" style="18" bestFit="1" customWidth="1"/>
    <col min="7" max="7" width="65.7109375" style="18" bestFit="1" customWidth="1"/>
    <col min="8" max="8" width="27.28515625" style="101" bestFit="1" customWidth="1"/>
    <col min="9" max="9" width="34.7109375" style="101" bestFit="1" customWidth="1"/>
    <col min="10" max="10" width="17.28515625" style="101" bestFit="1" customWidth="1"/>
    <col min="11" max="11" width="31.85546875" style="101" bestFit="1" customWidth="1"/>
  </cols>
  <sheetData>
    <row r="1" spans="1:11" s="89" customFormat="1" x14ac:dyDescent="0.25">
      <c r="A1" s="93"/>
      <c r="B1" s="93"/>
      <c r="C1" s="103"/>
      <c r="D1" s="103"/>
      <c r="E1" s="103"/>
      <c r="F1" s="90"/>
      <c r="G1" s="90"/>
      <c r="H1" s="93"/>
      <c r="I1" s="93"/>
      <c r="J1" s="93"/>
      <c r="K1" s="93"/>
    </row>
    <row r="2" spans="1:11" s="89" customFormat="1" x14ac:dyDescent="0.25">
      <c r="A2" s="93"/>
      <c r="B2" s="93"/>
      <c r="C2" s="103"/>
      <c r="D2" s="103"/>
      <c r="E2" s="103"/>
      <c r="F2" s="90"/>
      <c r="G2" s="90"/>
      <c r="H2" s="93"/>
      <c r="I2" s="93"/>
      <c r="J2" s="93"/>
      <c r="K2" s="93"/>
    </row>
    <row r="3" spans="1:11" s="89" customFormat="1" ht="15" customHeight="1" x14ac:dyDescent="0.25">
      <c r="A3" s="93"/>
      <c r="B3" s="93"/>
      <c r="C3" s="102" t="s">
        <v>369</v>
      </c>
      <c r="D3" s="102"/>
      <c r="E3" s="102"/>
      <c r="F3" s="102"/>
      <c r="G3" s="102"/>
      <c r="H3" s="102"/>
      <c r="I3" s="102"/>
      <c r="J3" s="102"/>
      <c r="K3" s="102"/>
    </row>
    <row r="4" spans="1:11" s="89" customFormat="1" x14ac:dyDescent="0.25">
      <c r="A4" s="93"/>
      <c r="B4" s="93"/>
      <c r="C4" s="102"/>
      <c r="D4" s="102"/>
      <c r="E4" s="102"/>
      <c r="F4" s="102"/>
      <c r="G4" s="102"/>
      <c r="H4" s="102"/>
      <c r="I4" s="102"/>
      <c r="J4" s="102"/>
      <c r="K4" s="102"/>
    </row>
    <row r="5" spans="1:11" s="89" customFormat="1" x14ac:dyDescent="0.25">
      <c r="A5" s="93"/>
      <c r="B5" s="93"/>
      <c r="C5" s="102"/>
      <c r="D5" s="102"/>
      <c r="E5" s="102"/>
      <c r="F5" s="102"/>
      <c r="G5" s="102"/>
      <c r="H5" s="102"/>
      <c r="I5" s="102"/>
      <c r="J5" s="102"/>
      <c r="K5" s="102"/>
    </row>
    <row r="6" spans="1:11" x14ac:dyDescent="0.25">
      <c r="A6" s="94" t="s">
        <v>0</v>
      </c>
      <c r="B6" s="95" t="s">
        <v>378</v>
      </c>
      <c r="C6" s="96" t="s">
        <v>370</v>
      </c>
      <c r="D6" s="96" t="s">
        <v>371</v>
      </c>
      <c r="E6" s="91" t="s">
        <v>372</v>
      </c>
      <c r="F6" s="91" t="s">
        <v>373</v>
      </c>
      <c r="G6" s="91" t="s">
        <v>374</v>
      </c>
      <c r="H6" s="96" t="s">
        <v>380</v>
      </c>
      <c r="I6" s="96" t="s">
        <v>375</v>
      </c>
      <c r="J6" s="96" t="s">
        <v>376</v>
      </c>
      <c r="K6" s="97" t="s">
        <v>377</v>
      </c>
    </row>
    <row r="7" spans="1:11" ht="96" customHeight="1" x14ac:dyDescent="0.25">
      <c r="A7" s="98">
        <v>1</v>
      </c>
      <c r="B7" s="92" t="s">
        <v>400</v>
      </c>
      <c r="C7" s="92" t="s">
        <v>399</v>
      </c>
      <c r="D7" s="106" t="s">
        <v>379</v>
      </c>
      <c r="E7" s="105" t="s">
        <v>381</v>
      </c>
      <c r="F7" s="107" t="s">
        <v>382</v>
      </c>
      <c r="G7" s="105" t="s">
        <v>383</v>
      </c>
      <c r="H7" s="98" t="s">
        <v>398</v>
      </c>
      <c r="I7" s="99"/>
      <c r="J7" s="99"/>
      <c r="K7" s="100"/>
    </row>
    <row r="8" spans="1:11" ht="90" x14ac:dyDescent="0.25">
      <c r="A8" s="92">
        <v>1</v>
      </c>
      <c r="B8" s="92" t="s">
        <v>400</v>
      </c>
      <c r="C8" s="92" t="s">
        <v>399</v>
      </c>
      <c r="D8" s="106" t="s">
        <v>379</v>
      </c>
      <c r="E8" s="105" t="s">
        <v>384</v>
      </c>
      <c r="F8" s="107" t="s">
        <v>385</v>
      </c>
      <c r="G8" s="105" t="s">
        <v>386</v>
      </c>
      <c r="H8" s="98" t="s">
        <v>398</v>
      </c>
      <c r="I8" s="99"/>
      <c r="J8" s="99"/>
      <c r="K8" s="100"/>
    </row>
    <row r="9" spans="1:11" ht="60" x14ac:dyDescent="0.25">
      <c r="A9" s="92">
        <v>1</v>
      </c>
      <c r="B9" s="92" t="s">
        <v>400</v>
      </c>
      <c r="C9" s="92" t="s">
        <v>399</v>
      </c>
      <c r="D9" s="106" t="s">
        <v>379</v>
      </c>
      <c r="E9" s="105" t="s">
        <v>387</v>
      </c>
      <c r="F9" s="107" t="s">
        <v>388</v>
      </c>
      <c r="G9" s="105" t="s">
        <v>389</v>
      </c>
      <c r="H9" s="98" t="s">
        <v>398</v>
      </c>
      <c r="I9" s="99"/>
      <c r="J9" s="99"/>
      <c r="K9" s="100"/>
    </row>
    <row r="10" spans="1:11" ht="45" x14ac:dyDescent="0.25">
      <c r="A10" s="92">
        <v>1</v>
      </c>
      <c r="B10" s="92" t="s">
        <v>400</v>
      </c>
      <c r="C10" s="92" t="s">
        <v>399</v>
      </c>
      <c r="D10" s="106" t="s">
        <v>379</v>
      </c>
      <c r="E10" s="105" t="s">
        <v>390</v>
      </c>
      <c r="F10" s="107" t="s">
        <v>391</v>
      </c>
      <c r="G10" s="105" t="s">
        <v>392</v>
      </c>
      <c r="H10" s="98" t="s">
        <v>398</v>
      </c>
      <c r="I10" s="99"/>
      <c r="J10" s="99"/>
      <c r="K10" s="100"/>
    </row>
    <row r="11" spans="1:11" ht="45" x14ac:dyDescent="0.25">
      <c r="A11" s="92">
        <v>1</v>
      </c>
      <c r="B11" s="92" t="s">
        <v>400</v>
      </c>
      <c r="C11" s="92" t="s">
        <v>399</v>
      </c>
      <c r="D11" s="106" t="s">
        <v>379</v>
      </c>
      <c r="E11" s="105" t="s">
        <v>393</v>
      </c>
      <c r="F11" s="107" t="s">
        <v>391</v>
      </c>
      <c r="G11" s="105" t="s">
        <v>394</v>
      </c>
      <c r="H11" s="98" t="s">
        <v>398</v>
      </c>
      <c r="I11" s="99"/>
      <c r="J11" s="99"/>
      <c r="K11" s="100"/>
    </row>
    <row r="12" spans="1:11" ht="45" x14ac:dyDescent="0.25">
      <c r="A12" s="92">
        <v>1</v>
      </c>
      <c r="B12" s="92" t="s">
        <v>400</v>
      </c>
      <c r="C12" s="92" t="s">
        <v>399</v>
      </c>
      <c r="D12" s="106" t="s">
        <v>379</v>
      </c>
      <c r="E12" s="105" t="s">
        <v>395</v>
      </c>
      <c r="F12" s="107" t="s">
        <v>396</v>
      </c>
      <c r="G12" s="105" t="s">
        <v>397</v>
      </c>
      <c r="H12" s="98" t="s">
        <v>398</v>
      </c>
      <c r="I12" s="99"/>
      <c r="J12" s="99"/>
      <c r="K12" s="100"/>
    </row>
  </sheetData>
  <mergeCells count="2">
    <mergeCell ref="C3:K5"/>
    <mergeCell ref="C1:E2"/>
  </mergeCells>
  <phoneticPr fontId="16" type="noConversion"/>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D8D36-147B-418C-93AD-BBCAC962A0EA}">
  <sheetPr codeName="Sheet2"/>
  <dimension ref="A3:G20"/>
  <sheetViews>
    <sheetView topLeftCell="A4" workbookViewId="0">
      <selection activeCell="M10" sqref="M10"/>
    </sheetView>
  </sheetViews>
  <sheetFormatPr baseColWidth="10" defaultColWidth="11.42578125" defaultRowHeight="15" x14ac:dyDescent="0.25"/>
  <cols>
    <col min="1" max="1" width="31.42578125" bestFit="1" customWidth="1"/>
    <col min="2" max="2" width="15.140625" bestFit="1" customWidth="1"/>
    <col min="3" max="4" width="9.42578125" bestFit="1" customWidth="1"/>
    <col min="5" max="5" width="9.85546875" bestFit="1" customWidth="1"/>
    <col min="6" max="6" width="10.85546875" bestFit="1" customWidth="1"/>
  </cols>
  <sheetData>
    <row r="3" spans="1:7" x14ac:dyDescent="0.25">
      <c r="A3" s="14" t="s">
        <v>357</v>
      </c>
      <c r="B3" s="14" t="s">
        <v>358</v>
      </c>
    </row>
    <row r="4" spans="1:7" x14ac:dyDescent="0.25">
      <c r="A4" s="57" t="s">
        <v>359</v>
      </c>
      <c r="B4" s="58" t="s">
        <v>29</v>
      </c>
      <c r="C4" s="58" t="s">
        <v>82</v>
      </c>
      <c r="D4" s="58" t="s">
        <v>87</v>
      </c>
      <c r="E4" s="58" t="s">
        <v>360</v>
      </c>
      <c r="F4" s="58" t="s">
        <v>361</v>
      </c>
    </row>
    <row r="5" spans="1:7" x14ac:dyDescent="0.25">
      <c r="A5" s="59" t="s">
        <v>277</v>
      </c>
      <c r="B5" s="88">
        <v>3</v>
      </c>
      <c r="C5" s="88"/>
      <c r="D5" s="88"/>
      <c r="E5" s="88"/>
      <c r="F5" s="88">
        <v>3</v>
      </c>
    </row>
    <row r="6" spans="1:7" x14ac:dyDescent="0.25">
      <c r="A6" s="59" t="s">
        <v>129</v>
      </c>
      <c r="B6" s="88">
        <v>3</v>
      </c>
      <c r="C6" s="88"/>
      <c r="D6" s="88">
        <v>1</v>
      </c>
      <c r="E6" s="88">
        <v>2</v>
      </c>
      <c r="F6" s="88">
        <v>6</v>
      </c>
    </row>
    <row r="7" spans="1:7" x14ac:dyDescent="0.25">
      <c r="A7" s="59" t="s">
        <v>68</v>
      </c>
      <c r="B7" s="88">
        <v>23</v>
      </c>
      <c r="C7" s="88">
        <v>1</v>
      </c>
      <c r="D7" s="88">
        <v>1</v>
      </c>
      <c r="E7" s="88"/>
      <c r="F7" s="88">
        <v>25</v>
      </c>
    </row>
    <row r="8" spans="1:7" x14ac:dyDescent="0.25">
      <c r="A8" s="59" t="s">
        <v>23</v>
      </c>
      <c r="B8" s="88">
        <v>14</v>
      </c>
      <c r="C8" s="88"/>
      <c r="D8" s="88"/>
      <c r="E8" s="88">
        <v>9</v>
      </c>
      <c r="F8" s="88">
        <v>23</v>
      </c>
    </row>
    <row r="9" spans="1:7" x14ac:dyDescent="0.25">
      <c r="A9" s="59" t="s">
        <v>267</v>
      </c>
      <c r="B9" s="88">
        <v>3</v>
      </c>
      <c r="C9" s="88"/>
      <c r="D9" s="88">
        <v>1</v>
      </c>
      <c r="E9" s="88">
        <v>5</v>
      </c>
      <c r="F9" s="88">
        <v>9</v>
      </c>
      <c r="G9" s="68"/>
    </row>
    <row r="10" spans="1:7" x14ac:dyDescent="0.25">
      <c r="A10" s="59" t="s">
        <v>167</v>
      </c>
      <c r="B10" s="88">
        <v>11</v>
      </c>
      <c r="C10" s="88"/>
      <c r="D10" s="88">
        <v>13</v>
      </c>
      <c r="E10" s="88"/>
      <c r="F10" s="88">
        <v>24</v>
      </c>
    </row>
    <row r="11" spans="1:7" x14ac:dyDescent="0.25">
      <c r="A11" s="59" t="s">
        <v>101</v>
      </c>
      <c r="B11" s="88">
        <v>2</v>
      </c>
      <c r="C11" s="88"/>
      <c r="D11" s="88">
        <v>8</v>
      </c>
      <c r="E11" s="88"/>
      <c r="F11" s="88">
        <v>10</v>
      </c>
    </row>
    <row r="12" spans="1:7" x14ac:dyDescent="0.25">
      <c r="A12" s="59" t="s">
        <v>84</v>
      </c>
      <c r="B12" s="88">
        <v>1</v>
      </c>
      <c r="C12" s="88"/>
      <c r="D12" s="88">
        <v>3</v>
      </c>
      <c r="E12" s="88"/>
      <c r="F12" s="88">
        <v>4</v>
      </c>
    </row>
    <row r="13" spans="1:7" x14ac:dyDescent="0.25">
      <c r="A13" s="59" t="s">
        <v>38</v>
      </c>
      <c r="B13" s="88">
        <v>4</v>
      </c>
      <c r="C13" s="88"/>
      <c r="D13" s="88"/>
      <c r="E13" s="88">
        <v>1</v>
      </c>
      <c r="F13" s="88">
        <v>5</v>
      </c>
    </row>
    <row r="14" spans="1:7" x14ac:dyDescent="0.25">
      <c r="A14" s="59" t="s">
        <v>51</v>
      </c>
      <c r="B14" s="88">
        <v>18</v>
      </c>
      <c r="C14" s="88">
        <v>1</v>
      </c>
      <c r="D14" s="88">
        <v>7</v>
      </c>
      <c r="E14" s="88">
        <v>1</v>
      </c>
      <c r="F14" s="88">
        <v>27</v>
      </c>
    </row>
    <row r="15" spans="1:7" x14ac:dyDescent="0.25">
      <c r="A15" s="59" t="s">
        <v>58</v>
      </c>
      <c r="B15" s="88">
        <v>2</v>
      </c>
      <c r="C15" s="88"/>
      <c r="D15" s="88"/>
      <c r="E15" s="88"/>
      <c r="F15" s="88">
        <v>2</v>
      </c>
    </row>
    <row r="16" spans="1:7" x14ac:dyDescent="0.25">
      <c r="A16" s="59" t="s">
        <v>46</v>
      </c>
      <c r="B16" s="88">
        <v>1</v>
      </c>
      <c r="C16" s="88"/>
      <c r="D16" s="88"/>
      <c r="E16" s="88"/>
      <c r="F16" s="88">
        <v>1</v>
      </c>
    </row>
    <row r="17" spans="1:6" x14ac:dyDescent="0.25">
      <c r="A17" s="59" t="s">
        <v>285</v>
      </c>
      <c r="B17" s="88"/>
      <c r="C17" s="88"/>
      <c r="D17" s="88"/>
      <c r="E17" s="88">
        <v>1</v>
      </c>
      <c r="F17" s="88">
        <v>1</v>
      </c>
    </row>
    <row r="18" spans="1:6" x14ac:dyDescent="0.25">
      <c r="A18" s="59" t="s">
        <v>146</v>
      </c>
      <c r="B18" s="88"/>
      <c r="C18" s="88"/>
      <c r="D18" s="88"/>
      <c r="E18" s="88">
        <v>2</v>
      </c>
      <c r="F18" s="88">
        <v>2</v>
      </c>
    </row>
    <row r="19" spans="1:6" x14ac:dyDescent="0.25">
      <c r="A19" s="59" t="s">
        <v>361</v>
      </c>
      <c r="B19" s="88">
        <v>85</v>
      </c>
      <c r="C19" s="88">
        <v>2</v>
      </c>
      <c r="D19" s="88">
        <v>34</v>
      </c>
      <c r="E19" s="88">
        <v>21</v>
      </c>
      <c r="F19" s="88">
        <v>142</v>
      </c>
    </row>
    <row r="20" spans="1:6" x14ac:dyDescent="0.25">
      <c r="A20" s="58"/>
      <c r="B20" s="60">
        <f>B19/$F$19</f>
        <v>0.59859154929577463</v>
      </c>
      <c r="C20" s="60">
        <f t="shared" ref="C20:E20" si="0">C19/$F$19</f>
        <v>1.4084507042253521E-2</v>
      </c>
      <c r="D20" s="60">
        <f t="shared" si="0"/>
        <v>0.23943661971830985</v>
      </c>
      <c r="E20" s="60">
        <f t="shared" si="0"/>
        <v>0.14788732394366197</v>
      </c>
      <c r="F20" s="5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6:K508"/>
  <sheetViews>
    <sheetView showGridLines="0" zoomScale="90" zoomScaleNormal="90" workbookViewId="0">
      <selection activeCell="M10" sqref="M10"/>
    </sheetView>
  </sheetViews>
  <sheetFormatPr baseColWidth="10" defaultColWidth="11.42578125" defaultRowHeight="15" x14ac:dyDescent="0.25"/>
  <cols>
    <col min="1" max="1" width="12.5703125" style="6" customWidth="1"/>
    <col min="2" max="2" width="9.5703125" style="6" bestFit="1" customWidth="1"/>
    <col min="3" max="3" width="19.140625" style="4" bestFit="1" customWidth="1"/>
    <col min="4" max="4" width="3.85546875" style="6" customWidth="1"/>
    <col min="5" max="5" width="18.140625" style="6" customWidth="1"/>
    <col min="6" max="6" width="13.85546875" style="6" bestFit="1" customWidth="1"/>
    <col min="7" max="7" width="46.85546875" style="6" customWidth="1"/>
    <col min="8" max="8" width="19.140625" style="6" customWidth="1"/>
    <col min="9" max="9" width="25.42578125" style="6" bestFit="1" customWidth="1"/>
    <col min="10" max="10" width="6.85546875" style="6" bestFit="1" customWidth="1"/>
    <col min="11" max="16384" width="11.42578125" style="6"/>
  </cols>
  <sheetData>
    <row r="6" spans="1:11" x14ac:dyDescent="0.25">
      <c r="I6" s="14" t="s">
        <v>4</v>
      </c>
      <c r="J6" t="s">
        <v>362</v>
      </c>
    </row>
    <row r="7" spans="1:11" ht="20.25" x14ac:dyDescent="0.25">
      <c r="A7" s="104" t="s">
        <v>363</v>
      </c>
      <c r="B7" s="104"/>
      <c r="C7" s="104"/>
      <c r="D7" s="104"/>
      <c r="E7" s="104"/>
      <c r="F7" s="104"/>
      <c r="G7" s="104"/>
    </row>
    <row r="8" spans="1:11" x14ac:dyDescent="0.25">
      <c r="A8" s="8" t="s">
        <v>4</v>
      </c>
      <c r="B8" s="8" t="s">
        <v>17</v>
      </c>
      <c r="C8"/>
      <c r="D8"/>
      <c r="E8" s="8" t="s">
        <v>4</v>
      </c>
      <c r="F8" s="8" t="s">
        <v>18</v>
      </c>
      <c r="G8"/>
      <c r="I8" s="14" t="s">
        <v>364</v>
      </c>
      <c r="J8"/>
      <c r="K8"/>
    </row>
    <row r="9" spans="1:11" x14ac:dyDescent="0.25">
      <c r="A9" s="3" t="s">
        <v>365</v>
      </c>
      <c r="B9" s="3" t="s">
        <v>365</v>
      </c>
      <c r="C9"/>
      <c r="D9"/>
      <c r="E9" s="3" t="s">
        <v>365</v>
      </c>
      <c r="F9" s="3" t="s">
        <v>365</v>
      </c>
      <c r="G9"/>
      <c r="I9" s="7" t="s">
        <v>29</v>
      </c>
      <c r="J9"/>
      <c r="K9"/>
    </row>
    <row r="10" spans="1:11" x14ac:dyDescent="0.25">
      <c r="A10" s="3"/>
      <c r="B10" s="3" t="s">
        <v>29</v>
      </c>
      <c r="C10"/>
      <c r="D10"/>
      <c r="E10" s="3"/>
      <c r="F10" s="3" t="s">
        <v>30</v>
      </c>
      <c r="G10"/>
      <c r="I10" s="16" t="s">
        <v>30</v>
      </c>
      <c r="J10"/>
      <c r="K10"/>
    </row>
    <row r="11" spans="1:11" ht="30" x14ac:dyDescent="0.25">
      <c r="A11" s="3"/>
      <c r="B11" s="3" t="s">
        <v>87</v>
      </c>
      <c r="C11"/>
      <c r="D11"/>
      <c r="E11" s="3"/>
      <c r="F11" s="3" t="s">
        <v>175</v>
      </c>
      <c r="G11"/>
      <c r="I11" s="16" t="s">
        <v>365</v>
      </c>
      <c r="J11"/>
      <c r="K11"/>
    </row>
    <row r="12" spans="1:11" ht="30" x14ac:dyDescent="0.25">
      <c r="A12" s="3"/>
      <c r="B12" s="3" t="s">
        <v>82</v>
      </c>
      <c r="C12"/>
      <c r="D12"/>
      <c r="E12" s="3"/>
      <c r="F12" s="3" t="s">
        <v>87</v>
      </c>
      <c r="G12"/>
      <c r="I12" s="7" t="s">
        <v>365</v>
      </c>
      <c r="J12"/>
      <c r="K12"/>
    </row>
    <row r="13" spans="1:11" x14ac:dyDescent="0.25">
      <c r="A13" s="3" t="s">
        <v>361</v>
      </c>
      <c r="B13" s="3"/>
      <c r="C13"/>
      <c r="D13"/>
      <c r="E13" s="3"/>
      <c r="F13" s="3" t="s">
        <v>83</v>
      </c>
      <c r="G13"/>
      <c r="I13" s="16" t="s">
        <v>365</v>
      </c>
      <c r="J13"/>
      <c r="K13"/>
    </row>
    <row r="14" spans="1:11" x14ac:dyDescent="0.25">
      <c r="A14"/>
      <c r="B14"/>
      <c r="C14"/>
      <c r="D14"/>
      <c r="E14" s="3" t="s">
        <v>361</v>
      </c>
      <c r="F14" s="3"/>
      <c r="G14"/>
      <c r="I14" s="7" t="s">
        <v>87</v>
      </c>
      <c r="J14"/>
      <c r="K14"/>
    </row>
    <row r="15" spans="1:11" x14ac:dyDescent="0.25">
      <c r="A15"/>
      <c r="B15"/>
      <c r="C15"/>
      <c r="D15"/>
      <c r="E15"/>
      <c r="F15"/>
      <c r="G15"/>
      <c r="I15" s="16" t="s">
        <v>175</v>
      </c>
      <c r="J15"/>
      <c r="K15"/>
    </row>
    <row r="16" spans="1:11" x14ac:dyDescent="0.25">
      <c r="A16"/>
      <c r="B16"/>
      <c r="C16"/>
      <c r="D16"/>
      <c r="E16"/>
      <c r="F16"/>
      <c r="G16"/>
      <c r="I16" s="16" t="s">
        <v>365</v>
      </c>
      <c r="J16"/>
      <c r="K16"/>
    </row>
    <row r="17" spans="1:11" x14ac:dyDescent="0.25">
      <c r="A17"/>
      <c r="B17"/>
      <c r="C17"/>
      <c r="D17"/>
      <c r="E17"/>
      <c r="F17"/>
      <c r="G17"/>
      <c r="I17" s="16" t="s">
        <v>87</v>
      </c>
      <c r="J17"/>
      <c r="K17"/>
    </row>
    <row r="18" spans="1:11" x14ac:dyDescent="0.25">
      <c r="A18"/>
      <c r="B18"/>
      <c r="C18"/>
      <c r="D18"/>
      <c r="E18"/>
      <c r="F18"/>
      <c r="G18"/>
      <c r="I18" s="7" t="s">
        <v>82</v>
      </c>
      <c r="J18"/>
      <c r="K18"/>
    </row>
    <row r="19" spans="1:11" x14ac:dyDescent="0.25">
      <c r="A19"/>
      <c r="B19"/>
      <c r="C19"/>
      <c r="D19"/>
      <c r="E19"/>
      <c r="F19"/>
      <c r="G19"/>
      <c r="I19" s="16" t="s">
        <v>83</v>
      </c>
      <c r="J19"/>
      <c r="K19"/>
    </row>
    <row r="20" spans="1:11" x14ac:dyDescent="0.25">
      <c r="A20"/>
      <c r="B20"/>
      <c r="C20"/>
      <c r="D20"/>
      <c r="E20"/>
      <c r="F20"/>
      <c r="G20"/>
      <c r="I20" s="7" t="s">
        <v>361</v>
      </c>
      <c r="J20"/>
      <c r="K20"/>
    </row>
    <row r="21" spans="1:11" x14ac:dyDescent="0.25">
      <c r="A21"/>
      <c r="B21"/>
      <c r="C21"/>
      <c r="D21"/>
      <c r="E21"/>
      <c r="F21"/>
      <c r="G21"/>
      <c r="I21"/>
      <c r="J21"/>
      <c r="K21"/>
    </row>
    <row r="22" spans="1:11" x14ac:dyDescent="0.25">
      <c r="A22"/>
      <c r="B22"/>
      <c r="C22"/>
      <c r="D22"/>
      <c r="E22"/>
      <c r="F22"/>
      <c r="G22"/>
      <c r="I22"/>
      <c r="J22"/>
      <c r="K22"/>
    </row>
    <row r="23" spans="1:11" x14ac:dyDescent="0.25">
      <c r="A23"/>
      <c r="B23"/>
      <c r="C23"/>
      <c r="D23"/>
      <c r="E23"/>
      <c r="F23"/>
      <c r="G23"/>
      <c r="I23"/>
      <c r="J23"/>
      <c r="K23"/>
    </row>
    <row r="24" spans="1:11" x14ac:dyDescent="0.25">
      <c r="A24"/>
      <c r="B24"/>
      <c r="C24"/>
      <c r="D24"/>
      <c r="E24"/>
      <c r="F24"/>
      <c r="G24"/>
      <c r="I24"/>
      <c r="J24"/>
      <c r="K24"/>
    </row>
    <row r="25" spans="1:11" x14ac:dyDescent="0.25">
      <c r="A25"/>
      <c r="B25"/>
      <c r="C25"/>
      <c r="D25"/>
      <c r="E25"/>
      <c r="F25"/>
      <c r="G25"/>
      <c r="I25"/>
      <c r="J25"/>
      <c r="K25"/>
    </row>
    <row r="26" spans="1:11" x14ac:dyDescent="0.25">
      <c r="A26"/>
      <c r="B26"/>
      <c r="C26"/>
      <c r="D26"/>
      <c r="E26"/>
      <c r="F26"/>
      <c r="G26"/>
    </row>
    <row r="27" spans="1:11" x14ac:dyDescent="0.25">
      <c r="A27"/>
      <c r="B27"/>
      <c r="C27"/>
      <c r="D27"/>
      <c r="E27"/>
      <c r="F27"/>
      <c r="G27"/>
    </row>
    <row r="28" spans="1:11" x14ac:dyDescent="0.25">
      <c r="A28"/>
      <c r="B28"/>
      <c r="C28"/>
      <c r="D28"/>
      <c r="E28"/>
      <c r="F28"/>
      <c r="G28"/>
    </row>
    <row r="29" spans="1:11" x14ac:dyDescent="0.25">
      <c r="A29"/>
      <c r="B29"/>
      <c r="C29"/>
      <c r="D29"/>
      <c r="E29"/>
      <c r="F29"/>
      <c r="G29"/>
    </row>
    <row r="30" spans="1:11" x14ac:dyDescent="0.25">
      <c r="A30"/>
      <c r="B30"/>
      <c r="C30"/>
      <c r="D30"/>
      <c r="E30"/>
      <c r="F30"/>
      <c r="G30"/>
    </row>
    <row r="31" spans="1:11" x14ac:dyDescent="0.25">
      <c r="A31"/>
      <c r="B31"/>
      <c r="C31"/>
      <c r="D31"/>
      <c r="E31"/>
      <c r="F31"/>
      <c r="G31"/>
    </row>
    <row r="32" spans="1:11" x14ac:dyDescent="0.25">
      <c r="A32"/>
      <c r="B32"/>
      <c r="C32"/>
      <c r="D32"/>
      <c r="E32"/>
      <c r="F32"/>
      <c r="G32"/>
    </row>
    <row r="33" spans="1:7" x14ac:dyDescent="0.25">
      <c r="A33"/>
      <c r="B33"/>
      <c r="C33"/>
      <c r="D33"/>
      <c r="E33"/>
      <c r="F33"/>
      <c r="G33"/>
    </row>
    <row r="34" spans="1:7" x14ac:dyDescent="0.25">
      <c r="A34"/>
      <c r="B34"/>
      <c r="C34"/>
      <c r="D34"/>
      <c r="E34"/>
      <c r="F34"/>
      <c r="G34"/>
    </row>
    <row r="35" spans="1:7" x14ac:dyDescent="0.25">
      <c r="A35"/>
      <c r="B35"/>
      <c r="C35"/>
      <c r="D35"/>
      <c r="E35"/>
      <c r="F35"/>
      <c r="G35"/>
    </row>
    <row r="36" spans="1:7" x14ac:dyDescent="0.25">
      <c r="A36"/>
      <c r="B36"/>
      <c r="C36"/>
      <c r="D36"/>
      <c r="E36"/>
      <c r="F36"/>
      <c r="G36"/>
    </row>
    <row r="37" spans="1:7" x14ac:dyDescent="0.25">
      <c r="A37"/>
      <c r="B37"/>
      <c r="C37"/>
      <c r="D37"/>
      <c r="E37"/>
      <c r="F37"/>
      <c r="G37"/>
    </row>
    <row r="38" spans="1:7" x14ac:dyDescent="0.25">
      <c r="A38"/>
      <c r="B38"/>
      <c r="C38"/>
      <c r="D38"/>
      <c r="E38"/>
      <c r="F38"/>
      <c r="G38"/>
    </row>
    <row r="39" spans="1:7" x14ac:dyDescent="0.25">
      <c r="A39"/>
      <c r="B39"/>
      <c r="C39"/>
      <c r="D39"/>
      <c r="E39"/>
      <c r="F39"/>
      <c r="G39"/>
    </row>
    <row r="40" spans="1:7" x14ac:dyDescent="0.25">
      <c r="A40"/>
      <c r="B40"/>
      <c r="C40"/>
      <c r="D40"/>
      <c r="E40"/>
      <c r="F40"/>
      <c r="G40"/>
    </row>
    <row r="41" spans="1:7" x14ac:dyDescent="0.25">
      <c r="A41"/>
      <c r="B41"/>
      <c r="C41"/>
      <c r="D41"/>
      <c r="E41"/>
      <c r="F41"/>
      <c r="G41"/>
    </row>
    <row r="42" spans="1:7" x14ac:dyDescent="0.25">
      <c r="A42"/>
      <c r="B42"/>
      <c r="C42"/>
      <c r="D42"/>
      <c r="E42"/>
      <c r="F42"/>
      <c r="G42"/>
    </row>
    <row r="43" spans="1:7" x14ac:dyDescent="0.25">
      <c r="A43"/>
      <c r="B43"/>
      <c r="C43"/>
      <c r="D43"/>
      <c r="E43"/>
      <c r="F43"/>
    </row>
    <row r="44" spans="1:7" x14ac:dyDescent="0.25">
      <c r="A44"/>
      <c r="B44"/>
      <c r="C44"/>
      <c r="D44"/>
      <c r="E44"/>
      <c r="F44"/>
    </row>
    <row r="45" spans="1:7" x14ac:dyDescent="0.25">
      <c r="A45"/>
      <c r="B45"/>
      <c r="C45"/>
      <c r="D45"/>
      <c r="E45"/>
      <c r="F45"/>
    </row>
    <row r="46" spans="1:7" x14ac:dyDescent="0.25">
      <c r="A46"/>
      <c r="B46"/>
      <c r="C46"/>
      <c r="D46"/>
      <c r="E46"/>
      <c r="F46"/>
    </row>
    <row r="47" spans="1:7" x14ac:dyDescent="0.25">
      <c r="A47"/>
      <c r="B47"/>
      <c r="C47"/>
      <c r="D47"/>
      <c r="E47"/>
      <c r="F47"/>
    </row>
    <row r="48" spans="1:7" x14ac:dyDescent="0.25">
      <c r="A48"/>
      <c r="B48"/>
      <c r="C48"/>
      <c r="D48"/>
      <c r="E48"/>
      <c r="F48"/>
    </row>
    <row r="49" spans="1:6" x14ac:dyDescent="0.25">
      <c r="A49"/>
      <c r="B49"/>
      <c r="C49"/>
      <c r="D49"/>
      <c r="E49"/>
      <c r="F49"/>
    </row>
    <row r="50" spans="1:6" x14ac:dyDescent="0.25">
      <c r="A50"/>
      <c r="B50"/>
      <c r="C50"/>
      <c r="D50"/>
      <c r="E50"/>
      <c r="F50"/>
    </row>
    <row r="51" spans="1:6" x14ac:dyDescent="0.25">
      <c r="A51"/>
      <c r="B51"/>
      <c r="C51"/>
      <c r="D51"/>
      <c r="E51"/>
      <c r="F51"/>
    </row>
    <row r="52" spans="1:6" x14ac:dyDescent="0.25">
      <c r="A52"/>
      <c r="B52"/>
      <c r="C52"/>
      <c r="D52"/>
      <c r="E52"/>
      <c r="F52"/>
    </row>
    <row r="53" spans="1:6" x14ac:dyDescent="0.25">
      <c r="A53"/>
      <c r="B53"/>
      <c r="C53"/>
      <c r="D53"/>
      <c r="E53"/>
    </row>
    <row r="54" spans="1:6" x14ac:dyDescent="0.25">
      <c r="A54"/>
      <c r="B54"/>
      <c r="C54"/>
      <c r="D54"/>
      <c r="E54"/>
    </row>
    <row r="55" spans="1:6" x14ac:dyDescent="0.25">
      <c r="A55"/>
      <c r="B55"/>
      <c r="C55"/>
      <c r="D55"/>
      <c r="E55"/>
    </row>
    <row r="56" spans="1:6" x14ac:dyDescent="0.25">
      <c r="A56"/>
      <c r="B56"/>
      <c r="C56"/>
      <c r="D56"/>
      <c r="E56"/>
    </row>
    <row r="57" spans="1:6" x14ac:dyDescent="0.25">
      <c r="A57"/>
      <c r="B57"/>
      <c r="C57"/>
      <c r="D57"/>
      <c r="E57"/>
    </row>
    <row r="58" spans="1:6" x14ac:dyDescent="0.25">
      <c r="A58"/>
      <c r="B58"/>
      <c r="C58"/>
      <c r="D58"/>
      <c r="E58"/>
    </row>
    <row r="59" spans="1:6" x14ac:dyDescent="0.25">
      <c r="A59"/>
      <c r="B59"/>
      <c r="C59"/>
      <c r="D59"/>
      <c r="E59"/>
    </row>
    <row r="60" spans="1:6" x14ac:dyDescent="0.25">
      <c r="A60"/>
      <c r="B60"/>
      <c r="C60"/>
      <c r="D60"/>
      <c r="E60"/>
    </row>
    <row r="61" spans="1:6" x14ac:dyDescent="0.25">
      <c r="A61"/>
      <c r="B61"/>
      <c r="C61"/>
      <c r="D61"/>
      <c r="E61"/>
    </row>
    <row r="62" spans="1:6" x14ac:dyDescent="0.25">
      <c r="A62"/>
      <c r="B62"/>
      <c r="C62"/>
      <c r="D62"/>
      <c r="E62"/>
    </row>
    <row r="63" spans="1:6" x14ac:dyDescent="0.25">
      <c r="A63"/>
      <c r="B63"/>
      <c r="C63"/>
      <c r="D63"/>
      <c r="E63"/>
    </row>
    <row r="64" spans="1:6" x14ac:dyDescent="0.25">
      <c r="A64"/>
      <c r="B64"/>
      <c r="C64"/>
      <c r="D64"/>
      <c r="E64"/>
    </row>
    <row r="65" spans="1:5" x14ac:dyDescent="0.25">
      <c r="A65"/>
      <c r="B65"/>
      <c r="C65"/>
      <c r="D65"/>
      <c r="E65"/>
    </row>
    <row r="66" spans="1:5" x14ac:dyDescent="0.25">
      <c r="A66"/>
      <c r="B66"/>
      <c r="C66"/>
      <c r="D66"/>
      <c r="E66"/>
    </row>
    <row r="67" spans="1:5" x14ac:dyDescent="0.25">
      <c r="A67"/>
      <c r="B67"/>
      <c r="C67"/>
      <c r="D67"/>
      <c r="E67"/>
    </row>
    <row r="68" spans="1:5" x14ac:dyDescent="0.25">
      <c r="A68"/>
      <c r="B68"/>
      <c r="C68"/>
      <c r="D68"/>
      <c r="E68"/>
    </row>
    <row r="69" spans="1:5" x14ac:dyDescent="0.25">
      <c r="A69"/>
      <c r="B69"/>
      <c r="C69"/>
      <c r="D69"/>
      <c r="E69"/>
    </row>
    <row r="70" spans="1:5" x14ac:dyDescent="0.25">
      <c r="A70"/>
      <c r="B70"/>
      <c r="C70"/>
      <c r="D70"/>
      <c r="E70"/>
    </row>
    <row r="71" spans="1:5" x14ac:dyDescent="0.25">
      <c r="A71"/>
      <c r="B71"/>
      <c r="C71"/>
      <c r="D71"/>
      <c r="E71"/>
    </row>
    <row r="72" spans="1:5" x14ac:dyDescent="0.25">
      <c r="A72"/>
      <c r="B72"/>
      <c r="C72"/>
      <c r="D72"/>
      <c r="E72"/>
    </row>
    <row r="73" spans="1:5" x14ac:dyDescent="0.25">
      <c r="A73"/>
      <c r="B73"/>
      <c r="C73"/>
      <c r="D73"/>
      <c r="E73"/>
    </row>
    <row r="74" spans="1:5" x14ac:dyDescent="0.25">
      <c r="A74"/>
      <c r="B74"/>
      <c r="C74"/>
      <c r="D74"/>
      <c r="E74"/>
    </row>
    <row r="75" spans="1:5" x14ac:dyDescent="0.25">
      <c r="A75"/>
      <c r="B75"/>
      <c r="C75"/>
      <c r="D75"/>
      <c r="E75"/>
    </row>
    <row r="76" spans="1:5" x14ac:dyDescent="0.25">
      <c r="A76"/>
      <c r="B76"/>
      <c r="C76"/>
      <c r="D76"/>
      <c r="E76"/>
    </row>
    <row r="77" spans="1:5" x14ac:dyDescent="0.25">
      <c r="A77"/>
      <c r="B77"/>
      <c r="C77"/>
      <c r="D77"/>
      <c r="E77"/>
    </row>
    <row r="78" spans="1:5" x14ac:dyDescent="0.25">
      <c r="A78"/>
      <c r="B78"/>
      <c r="C78"/>
      <c r="D78"/>
      <c r="E78"/>
    </row>
    <row r="79" spans="1:5" x14ac:dyDescent="0.25">
      <c r="A79"/>
      <c r="B79"/>
      <c r="C79"/>
      <c r="D79"/>
      <c r="E79"/>
    </row>
    <row r="80" spans="1:5" x14ac:dyDescent="0.25">
      <c r="A80"/>
      <c r="B80"/>
      <c r="C80"/>
      <c r="D80"/>
      <c r="E80"/>
    </row>
    <row r="81" spans="1:5" x14ac:dyDescent="0.25">
      <c r="A81"/>
      <c r="B81"/>
      <c r="C81"/>
      <c r="D81"/>
      <c r="E81"/>
    </row>
    <row r="82" spans="1:5" x14ac:dyDescent="0.25">
      <c r="A82"/>
      <c r="B82"/>
      <c r="C82"/>
      <c r="D82"/>
      <c r="E82"/>
    </row>
    <row r="83" spans="1:5" x14ac:dyDescent="0.25">
      <c r="A83"/>
      <c r="B83"/>
      <c r="C83"/>
      <c r="D83"/>
      <c r="E83"/>
    </row>
    <row r="84" spans="1:5" x14ac:dyDescent="0.25">
      <c r="A84"/>
      <c r="B84"/>
      <c r="C84"/>
      <c r="D84"/>
      <c r="E84"/>
    </row>
    <row r="85" spans="1:5" x14ac:dyDescent="0.25">
      <c r="A85"/>
      <c r="B85"/>
      <c r="C85"/>
      <c r="D85"/>
      <c r="E85"/>
    </row>
    <row r="86" spans="1:5" x14ac:dyDescent="0.25">
      <c r="A86"/>
      <c r="B86"/>
      <c r="C86"/>
      <c r="D86"/>
      <c r="E86"/>
    </row>
    <row r="87" spans="1:5" x14ac:dyDescent="0.25">
      <c r="A87"/>
      <c r="B87"/>
      <c r="C87"/>
      <c r="D87"/>
      <c r="E87"/>
    </row>
    <row r="88" spans="1:5" x14ac:dyDescent="0.25">
      <c r="A88"/>
      <c r="B88"/>
      <c r="C88"/>
      <c r="D88"/>
      <c r="E88"/>
    </row>
    <row r="89" spans="1:5" x14ac:dyDescent="0.25">
      <c r="A89"/>
      <c r="B89"/>
      <c r="C89"/>
      <c r="D89"/>
      <c r="E89"/>
    </row>
    <row r="90" spans="1:5" x14ac:dyDescent="0.25">
      <c r="A90"/>
      <c r="B90"/>
      <c r="C90"/>
      <c r="D90"/>
      <c r="E90"/>
    </row>
    <row r="91" spans="1:5" x14ac:dyDescent="0.25">
      <c r="A91"/>
      <c r="B91"/>
      <c r="C91"/>
      <c r="D91"/>
      <c r="E91"/>
    </row>
    <row r="92" spans="1:5" x14ac:dyDescent="0.25">
      <c r="A92"/>
      <c r="B92"/>
      <c r="C92"/>
      <c r="D92"/>
      <c r="E92"/>
    </row>
    <row r="93" spans="1:5" x14ac:dyDescent="0.25">
      <c r="A93"/>
      <c r="B93"/>
      <c r="C93"/>
      <c r="D93"/>
      <c r="E93"/>
    </row>
    <row r="94" spans="1:5" x14ac:dyDescent="0.25">
      <c r="A94"/>
      <c r="B94"/>
      <c r="C94"/>
      <c r="D94"/>
      <c r="E94"/>
    </row>
    <row r="95" spans="1:5" x14ac:dyDescent="0.25">
      <c r="A95"/>
      <c r="B95"/>
      <c r="C95"/>
      <c r="D95"/>
      <c r="E95"/>
    </row>
    <row r="96" spans="1:5" x14ac:dyDescent="0.25">
      <c r="A96"/>
      <c r="B96"/>
      <c r="C96"/>
      <c r="D96"/>
      <c r="E96"/>
    </row>
    <row r="97" spans="1:5" x14ac:dyDescent="0.25">
      <c r="A97"/>
      <c r="B97"/>
      <c r="C97"/>
      <c r="D97"/>
      <c r="E97"/>
    </row>
    <row r="98" spans="1:5" x14ac:dyDescent="0.25">
      <c r="A98"/>
      <c r="B98"/>
      <c r="C98"/>
      <c r="D98"/>
      <c r="E98"/>
    </row>
    <row r="99" spans="1:5" x14ac:dyDescent="0.25">
      <c r="A99"/>
      <c r="B99"/>
      <c r="C99"/>
      <c r="D99"/>
      <c r="E99"/>
    </row>
    <row r="100" spans="1:5" x14ac:dyDescent="0.25">
      <c r="A100"/>
      <c r="B100"/>
      <c r="C100"/>
      <c r="D100"/>
      <c r="E100"/>
    </row>
    <row r="101" spans="1:5" x14ac:dyDescent="0.25">
      <c r="A101"/>
      <c r="B101"/>
      <c r="C101"/>
      <c r="D101"/>
      <c r="E101"/>
    </row>
    <row r="102" spans="1:5" x14ac:dyDescent="0.25">
      <c r="A102"/>
      <c r="B102"/>
      <c r="C102"/>
      <c r="D102"/>
      <c r="E102"/>
    </row>
    <row r="103" spans="1:5" x14ac:dyDescent="0.25">
      <c r="A103"/>
      <c r="B103"/>
      <c r="C103"/>
      <c r="D103"/>
      <c r="E103"/>
    </row>
    <row r="104" spans="1:5" x14ac:dyDescent="0.25">
      <c r="A104"/>
      <c r="B104"/>
      <c r="C104"/>
      <c r="D104"/>
      <c r="E104"/>
    </row>
    <row r="105" spans="1:5" x14ac:dyDescent="0.25">
      <c r="A105"/>
      <c r="B105"/>
      <c r="C105"/>
      <c r="D105"/>
      <c r="E105"/>
    </row>
    <row r="106" spans="1:5" x14ac:dyDescent="0.25">
      <c r="A106"/>
      <c r="B106"/>
      <c r="C106"/>
      <c r="D106"/>
      <c r="E106"/>
    </row>
    <row r="107" spans="1:5" x14ac:dyDescent="0.25">
      <c r="A107"/>
      <c r="B107"/>
      <c r="C107"/>
      <c r="D107"/>
      <c r="E107"/>
    </row>
    <row r="108" spans="1:5" x14ac:dyDescent="0.25">
      <c r="A108"/>
      <c r="B108"/>
      <c r="C108"/>
      <c r="D108"/>
      <c r="E108"/>
    </row>
    <row r="109" spans="1:5" x14ac:dyDescent="0.25">
      <c r="A109"/>
      <c r="B109"/>
      <c r="C109"/>
      <c r="D109"/>
      <c r="E109"/>
    </row>
    <row r="110" spans="1:5" x14ac:dyDescent="0.25">
      <c r="A110"/>
      <c r="B110"/>
      <c r="C110"/>
      <c r="D110"/>
      <c r="E110"/>
    </row>
    <row r="111" spans="1:5" x14ac:dyDescent="0.25">
      <c r="A111"/>
      <c r="B111"/>
      <c r="C111"/>
      <c r="D111"/>
      <c r="E111"/>
    </row>
    <row r="112" spans="1:5" x14ac:dyDescent="0.25">
      <c r="A112"/>
      <c r="B112"/>
      <c r="C112"/>
      <c r="D112"/>
      <c r="E112"/>
    </row>
    <row r="113" spans="1:5" x14ac:dyDescent="0.25">
      <c r="A113"/>
      <c r="B113"/>
      <c r="C113"/>
      <c r="D113"/>
      <c r="E113"/>
    </row>
    <row r="114" spans="1:5" x14ac:dyDescent="0.25">
      <c r="A114"/>
      <c r="B114"/>
      <c r="C114"/>
      <c r="D114"/>
      <c r="E114"/>
    </row>
    <row r="115" spans="1:5" x14ac:dyDescent="0.25">
      <c r="A115"/>
      <c r="B115"/>
      <c r="C115"/>
      <c r="D115"/>
      <c r="E115"/>
    </row>
    <row r="116" spans="1:5" x14ac:dyDescent="0.25">
      <c r="A116"/>
      <c r="B116"/>
      <c r="C116"/>
      <c r="D116"/>
      <c r="E116"/>
    </row>
    <row r="117" spans="1:5" x14ac:dyDescent="0.25">
      <c r="A117"/>
      <c r="B117"/>
      <c r="C117"/>
      <c r="D117"/>
      <c r="E117"/>
    </row>
    <row r="118" spans="1:5" x14ac:dyDescent="0.25">
      <c r="A118"/>
      <c r="B118"/>
      <c r="C118"/>
      <c r="D118"/>
      <c r="E118"/>
    </row>
    <row r="119" spans="1:5" x14ac:dyDescent="0.25">
      <c r="A119"/>
      <c r="B119"/>
      <c r="C119"/>
      <c r="D119"/>
      <c r="E119"/>
    </row>
    <row r="120" spans="1:5" x14ac:dyDescent="0.25">
      <c r="A120"/>
      <c r="B120"/>
      <c r="C120"/>
      <c r="D120"/>
      <c r="E120"/>
    </row>
    <row r="121" spans="1:5" x14ac:dyDescent="0.25">
      <c r="A121"/>
      <c r="B121"/>
      <c r="C121"/>
      <c r="D121"/>
      <c r="E121"/>
    </row>
    <row r="122" spans="1:5" x14ac:dyDescent="0.25">
      <c r="A122"/>
      <c r="B122"/>
      <c r="C122"/>
      <c r="D122"/>
      <c r="E122"/>
    </row>
    <row r="123" spans="1:5" x14ac:dyDescent="0.25">
      <c r="A123"/>
      <c r="B123"/>
      <c r="C123"/>
      <c r="D123"/>
      <c r="E123"/>
    </row>
    <row r="124" spans="1:5" x14ac:dyDescent="0.25">
      <c r="A124"/>
      <c r="B124"/>
      <c r="C124"/>
      <c r="D124"/>
      <c r="E124"/>
    </row>
    <row r="125" spans="1:5" x14ac:dyDescent="0.25">
      <c r="A125"/>
      <c r="B125"/>
      <c r="C125"/>
      <c r="D125"/>
      <c r="E125"/>
    </row>
    <row r="126" spans="1:5" x14ac:dyDescent="0.25">
      <c r="A126"/>
      <c r="B126"/>
      <c r="C126"/>
      <c r="D126"/>
      <c r="E126"/>
    </row>
    <row r="127" spans="1:5" x14ac:dyDescent="0.25">
      <c r="A127"/>
      <c r="B127"/>
      <c r="C127"/>
      <c r="D127"/>
      <c r="E127"/>
    </row>
    <row r="128" spans="1:5" x14ac:dyDescent="0.25">
      <c r="A128"/>
      <c r="B128"/>
      <c r="C128"/>
      <c r="D128"/>
      <c r="E128"/>
    </row>
    <row r="129" spans="1:5" x14ac:dyDescent="0.25">
      <c r="A129"/>
      <c r="B129"/>
      <c r="C129"/>
      <c r="D129"/>
      <c r="E129"/>
    </row>
    <row r="130" spans="1:5" x14ac:dyDescent="0.25">
      <c r="A130"/>
      <c r="B130"/>
      <c r="C130"/>
      <c r="D130"/>
      <c r="E130"/>
    </row>
    <row r="131" spans="1:5" x14ac:dyDescent="0.25">
      <c r="A131"/>
      <c r="B131"/>
      <c r="C131"/>
      <c r="D131"/>
      <c r="E131"/>
    </row>
    <row r="132" spans="1:5" x14ac:dyDescent="0.25">
      <c r="A132"/>
      <c r="B132"/>
      <c r="C132"/>
      <c r="D132"/>
      <c r="E132"/>
    </row>
    <row r="133" spans="1:5" x14ac:dyDescent="0.25">
      <c r="A133"/>
      <c r="B133"/>
      <c r="C133"/>
      <c r="D133"/>
      <c r="E133"/>
    </row>
    <row r="134" spans="1:5" x14ac:dyDescent="0.25">
      <c r="A134"/>
      <c r="B134"/>
      <c r="C134"/>
      <c r="D134"/>
      <c r="E134"/>
    </row>
    <row r="135" spans="1:5" x14ac:dyDescent="0.25">
      <c r="A135"/>
      <c r="B135"/>
      <c r="C135"/>
      <c r="D135"/>
      <c r="E135"/>
    </row>
    <row r="136" spans="1:5" x14ac:dyDescent="0.25">
      <c r="A136"/>
      <c r="B136"/>
      <c r="C136"/>
      <c r="D136"/>
      <c r="E136"/>
    </row>
    <row r="137" spans="1:5" x14ac:dyDescent="0.25">
      <c r="A137"/>
      <c r="B137"/>
      <c r="C137"/>
      <c r="D137"/>
      <c r="E137"/>
    </row>
    <row r="138" spans="1:5" x14ac:dyDescent="0.25">
      <c r="A138"/>
      <c r="B138"/>
      <c r="C138"/>
      <c r="D138"/>
      <c r="E138"/>
    </row>
    <row r="139" spans="1:5" x14ac:dyDescent="0.25">
      <c r="A139"/>
      <c r="B139"/>
      <c r="C139"/>
      <c r="D139"/>
      <c r="E139"/>
    </row>
    <row r="140" spans="1:5" x14ac:dyDescent="0.25">
      <c r="A140"/>
      <c r="B140"/>
      <c r="C140"/>
      <c r="D140"/>
      <c r="E140"/>
    </row>
    <row r="141" spans="1:5" x14ac:dyDescent="0.25">
      <c r="A141"/>
      <c r="B141"/>
      <c r="C141"/>
      <c r="D141"/>
      <c r="E141"/>
    </row>
    <row r="142" spans="1:5" x14ac:dyDescent="0.25">
      <c r="A142"/>
      <c r="B142"/>
      <c r="C142"/>
      <c r="D142"/>
      <c r="E142"/>
    </row>
    <row r="143" spans="1:5" x14ac:dyDescent="0.25">
      <c r="A143"/>
      <c r="B143"/>
      <c r="C143"/>
      <c r="D143"/>
      <c r="E143"/>
    </row>
    <row r="144" spans="1:5" x14ac:dyDescent="0.25">
      <c r="A144"/>
      <c r="B144"/>
      <c r="C144"/>
      <c r="D144"/>
      <c r="E144"/>
    </row>
    <row r="145" spans="1:5" x14ac:dyDescent="0.25">
      <c r="A145"/>
      <c r="B145"/>
      <c r="C145"/>
      <c r="D145"/>
      <c r="E145"/>
    </row>
    <row r="146" spans="1:5" x14ac:dyDescent="0.25">
      <c r="A146"/>
      <c r="B146"/>
      <c r="C146"/>
      <c r="D146"/>
      <c r="E146"/>
    </row>
    <row r="147" spans="1:5" x14ac:dyDescent="0.25">
      <c r="A147"/>
      <c r="B147"/>
      <c r="C147"/>
      <c r="D147"/>
      <c r="E147"/>
    </row>
    <row r="148" spans="1:5" x14ac:dyDescent="0.25">
      <c r="A148"/>
      <c r="B148"/>
      <c r="C148"/>
      <c r="D148"/>
      <c r="E148"/>
    </row>
    <row r="149" spans="1:5" x14ac:dyDescent="0.25">
      <c r="A149"/>
      <c r="B149"/>
      <c r="C149"/>
      <c r="D149"/>
      <c r="E149"/>
    </row>
    <row r="150" spans="1:5" x14ac:dyDescent="0.25">
      <c r="A150"/>
      <c r="B150"/>
      <c r="C150"/>
      <c r="D150"/>
      <c r="E150"/>
    </row>
    <row r="151" spans="1:5" x14ac:dyDescent="0.25">
      <c r="A151"/>
      <c r="B151"/>
      <c r="C151"/>
      <c r="D151"/>
      <c r="E151"/>
    </row>
    <row r="152" spans="1:5" x14ac:dyDescent="0.25">
      <c r="A152"/>
      <c r="B152"/>
      <c r="C152"/>
      <c r="D152"/>
      <c r="E152"/>
    </row>
    <row r="153" spans="1:5" x14ac:dyDescent="0.25">
      <c r="A153"/>
      <c r="B153"/>
      <c r="C153"/>
      <c r="D153"/>
      <c r="E153"/>
    </row>
    <row r="154" spans="1:5" x14ac:dyDescent="0.25">
      <c r="A154"/>
      <c r="B154"/>
      <c r="C154"/>
      <c r="D154"/>
      <c r="E154"/>
    </row>
    <row r="155" spans="1:5" x14ac:dyDescent="0.25">
      <c r="A155"/>
      <c r="B155"/>
      <c r="C155"/>
      <c r="D155"/>
      <c r="E155"/>
    </row>
    <row r="156" spans="1:5" x14ac:dyDescent="0.25">
      <c r="A156"/>
      <c r="B156"/>
      <c r="C156"/>
      <c r="D156"/>
      <c r="E156"/>
    </row>
    <row r="157" spans="1:5" x14ac:dyDescent="0.25">
      <c r="A157"/>
      <c r="B157"/>
      <c r="C157"/>
      <c r="D157"/>
      <c r="E157"/>
    </row>
    <row r="158" spans="1:5" x14ac:dyDescent="0.25">
      <c r="A158"/>
      <c r="B158"/>
      <c r="C158"/>
      <c r="D158"/>
      <c r="E158"/>
    </row>
    <row r="159" spans="1:5" x14ac:dyDescent="0.25">
      <c r="A159"/>
      <c r="B159"/>
      <c r="C159"/>
      <c r="D159"/>
      <c r="E159"/>
    </row>
    <row r="160" spans="1:5" x14ac:dyDescent="0.25">
      <c r="A160"/>
      <c r="B160"/>
      <c r="C160"/>
      <c r="D160"/>
      <c r="E160"/>
    </row>
    <row r="161" spans="1:5" x14ac:dyDescent="0.25">
      <c r="A161"/>
      <c r="B161"/>
      <c r="C161"/>
      <c r="D161"/>
      <c r="E161"/>
    </row>
    <row r="162" spans="1:5" x14ac:dyDescent="0.25">
      <c r="A162"/>
      <c r="B162"/>
      <c r="C162"/>
      <c r="D162"/>
      <c r="E162"/>
    </row>
    <row r="163" spans="1:5" x14ac:dyDescent="0.25">
      <c r="A163"/>
      <c r="B163"/>
      <c r="C163"/>
      <c r="D163"/>
      <c r="E163"/>
    </row>
    <row r="164" spans="1:5" x14ac:dyDescent="0.25">
      <c r="A164"/>
      <c r="B164"/>
      <c r="C164"/>
      <c r="D164"/>
      <c r="E164"/>
    </row>
    <row r="165" spans="1:5" x14ac:dyDescent="0.25">
      <c r="A165"/>
      <c r="B165"/>
      <c r="C165"/>
      <c r="D165"/>
      <c r="E165"/>
    </row>
    <row r="166" spans="1:5" x14ac:dyDescent="0.25">
      <c r="A166"/>
      <c r="B166"/>
      <c r="C166"/>
      <c r="D166"/>
      <c r="E166"/>
    </row>
    <row r="167" spans="1:5" x14ac:dyDescent="0.25">
      <c r="A167"/>
      <c r="B167"/>
      <c r="C167"/>
      <c r="D167"/>
      <c r="E167"/>
    </row>
    <row r="168" spans="1:5" x14ac:dyDescent="0.25">
      <c r="A168"/>
      <c r="B168"/>
      <c r="C168"/>
      <c r="D168"/>
      <c r="E168"/>
    </row>
    <row r="169" spans="1:5" x14ac:dyDescent="0.25">
      <c r="A169"/>
      <c r="B169"/>
      <c r="C169"/>
      <c r="D169"/>
      <c r="E169"/>
    </row>
    <row r="170" spans="1:5" x14ac:dyDescent="0.25">
      <c r="A170"/>
      <c r="B170"/>
      <c r="C170"/>
      <c r="D170"/>
      <c r="E170"/>
    </row>
    <row r="171" spans="1:5" x14ac:dyDescent="0.25">
      <c r="A171"/>
      <c r="B171"/>
      <c r="C171"/>
      <c r="D171"/>
      <c r="E171"/>
    </row>
    <row r="172" spans="1:5" x14ac:dyDescent="0.25">
      <c r="A172"/>
      <c r="B172"/>
      <c r="C172"/>
      <c r="D172"/>
      <c r="E172"/>
    </row>
    <row r="173" spans="1:5" x14ac:dyDescent="0.25">
      <c r="A173"/>
      <c r="B173"/>
      <c r="C173"/>
      <c r="D173"/>
      <c r="E173"/>
    </row>
    <row r="174" spans="1:5" x14ac:dyDescent="0.25">
      <c r="A174"/>
      <c r="B174"/>
      <c r="C174"/>
      <c r="D174"/>
      <c r="E174"/>
    </row>
    <row r="175" spans="1:5" x14ac:dyDescent="0.25">
      <c r="A175"/>
      <c r="B175"/>
      <c r="C175"/>
      <c r="D175"/>
      <c r="E175"/>
    </row>
    <row r="176" spans="1:5" x14ac:dyDescent="0.25">
      <c r="A176"/>
      <c r="B176"/>
      <c r="C176"/>
      <c r="D176"/>
      <c r="E176"/>
    </row>
    <row r="177" spans="1:5" x14ac:dyDescent="0.25">
      <c r="A177"/>
      <c r="B177"/>
      <c r="C177"/>
      <c r="D177"/>
      <c r="E177"/>
    </row>
    <row r="178" spans="1:5" x14ac:dyDescent="0.25">
      <c r="A178"/>
      <c r="B178"/>
      <c r="C178"/>
      <c r="D178"/>
      <c r="E178"/>
    </row>
    <row r="179" spans="1:5" x14ac:dyDescent="0.25">
      <c r="A179"/>
      <c r="B179"/>
      <c r="C179"/>
      <c r="D179"/>
      <c r="E179"/>
    </row>
    <row r="180" spans="1:5" x14ac:dyDescent="0.25">
      <c r="A180"/>
      <c r="B180"/>
      <c r="C180"/>
      <c r="D180"/>
      <c r="E180"/>
    </row>
    <row r="181" spans="1:5" x14ac:dyDescent="0.25">
      <c r="A181"/>
      <c r="B181"/>
      <c r="C181"/>
      <c r="D181"/>
      <c r="E181"/>
    </row>
    <row r="182" spans="1:5" x14ac:dyDescent="0.25">
      <c r="A182"/>
      <c r="B182"/>
      <c r="C182"/>
      <c r="D182"/>
      <c r="E182"/>
    </row>
    <row r="183" spans="1:5" x14ac:dyDescent="0.25">
      <c r="A183"/>
      <c r="B183"/>
      <c r="C183"/>
      <c r="D183"/>
      <c r="E183"/>
    </row>
    <row r="184" spans="1:5" x14ac:dyDescent="0.25">
      <c r="A184"/>
      <c r="B184"/>
      <c r="C184"/>
      <c r="D184"/>
      <c r="E184"/>
    </row>
    <row r="185" spans="1:5" x14ac:dyDescent="0.25">
      <c r="A185"/>
      <c r="B185"/>
      <c r="C185"/>
      <c r="D185"/>
      <c r="E185"/>
    </row>
    <row r="186" spans="1:5" x14ac:dyDescent="0.25">
      <c r="A186"/>
      <c r="B186"/>
      <c r="C186"/>
      <c r="D186"/>
      <c r="E186"/>
    </row>
    <row r="187" spans="1:5" x14ac:dyDescent="0.25">
      <c r="A187"/>
      <c r="B187"/>
      <c r="C187"/>
      <c r="D187"/>
      <c r="E187"/>
    </row>
    <row r="188" spans="1:5" x14ac:dyDescent="0.25">
      <c r="A188"/>
      <c r="B188"/>
      <c r="C188"/>
      <c r="D188"/>
      <c r="E188"/>
    </row>
    <row r="189" spans="1:5" x14ac:dyDescent="0.25">
      <c r="A189"/>
      <c r="B189"/>
      <c r="C189"/>
      <c r="D189"/>
      <c r="E189"/>
    </row>
    <row r="190" spans="1:5" x14ac:dyDescent="0.25">
      <c r="A190"/>
      <c r="B190"/>
      <c r="C190"/>
      <c r="D190"/>
      <c r="E190"/>
    </row>
    <row r="191" spans="1:5" x14ac:dyDescent="0.25">
      <c r="A191"/>
      <c r="B191"/>
      <c r="C191"/>
      <c r="D191"/>
      <c r="E191"/>
    </row>
    <row r="192" spans="1:5" x14ac:dyDescent="0.25">
      <c r="A192"/>
      <c r="B192"/>
      <c r="C192"/>
      <c r="D192"/>
      <c r="E192"/>
    </row>
    <row r="193" spans="1:5" x14ac:dyDescent="0.25">
      <c r="A193"/>
      <c r="B193"/>
      <c r="C193"/>
      <c r="D193"/>
      <c r="E193"/>
    </row>
    <row r="194" spans="1:5" x14ac:dyDescent="0.25">
      <c r="A194"/>
      <c r="B194"/>
      <c r="C194"/>
      <c r="D194"/>
      <c r="E194"/>
    </row>
    <row r="195" spans="1:5" x14ac:dyDescent="0.25">
      <c r="A195"/>
      <c r="B195"/>
      <c r="C195"/>
      <c r="D195"/>
      <c r="E195"/>
    </row>
    <row r="196" spans="1:5" x14ac:dyDescent="0.25">
      <c r="A196"/>
      <c r="B196"/>
      <c r="C196"/>
      <c r="D196"/>
      <c r="E196"/>
    </row>
    <row r="197" spans="1:5" x14ac:dyDescent="0.25">
      <c r="A197"/>
      <c r="B197"/>
      <c r="C197"/>
      <c r="D197"/>
      <c r="E197"/>
    </row>
    <row r="198" spans="1:5" x14ac:dyDescent="0.25">
      <c r="A198"/>
      <c r="B198"/>
      <c r="C198"/>
      <c r="D198"/>
      <c r="E198"/>
    </row>
    <row r="199" spans="1:5" x14ac:dyDescent="0.25">
      <c r="A199"/>
      <c r="B199"/>
      <c r="C199"/>
      <c r="D199"/>
      <c r="E199"/>
    </row>
    <row r="200" spans="1:5" x14ac:dyDescent="0.25">
      <c r="A200"/>
      <c r="B200"/>
      <c r="C200"/>
      <c r="D200"/>
      <c r="E200"/>
    </row>
    <row r="201" spans="1:5" x14ac:dyDescent="0.25">
      <c r="A201"/>
      <c r="B201"/>
      <c r="C201"/>
      <c r="D201"/>
      <c r="E201"/>
    </row>
    <row r="202" spans="1:5" x14ac:dyDescent="0.25">
      <c r="A202"/>
      <c r="B202"/>
      <c r="C202"/>
      <c r="D202"/>
      <c r="E202"/>
    </row>
    <row r="203" spans="1:5" x14ac:dyDescent="0.25">
      <c r="A203"/>
      <c r="B203"/>
      <c r="C203"/>
      <c r="D203"/>
      <c r="E203"/>
    </row>
    <row r="204" spans="1:5" x14ac:dyDescent="0.25">
      <c r="A204"/>
      <c r="B204"/>
      <c r="C204"/>
      <c r="D204"/>
      <c r="E204"/>
    </row>
    <row r="205" spans="1:5" x14ac:dyDescent="0.25">
      <c r="A205"/>
      <c r="B205"/>
      <c r="C205"/>
      <c r="D205"/>
      <c r="E205"/>
    </row>
    <row r="206" spans="1:5" x14ac:dyDescent="0.25">
      <c r="A206"/>
      <c r="B206"/>
      <c r="C206"/>
      <c r="D206"/>
      <c r="E206"/>
    </row>
    <row r="207" spans="1:5" x14ac:dyDescent="0.25">
      <c r="A207"/>
      <c r="B207"/>
      <c r="C207"/>
      <c r="D207"/>
      <c r="E207"/>
    </row>
    <row r="208" spans="1:5" x14ac:dyDescent="0.25">
      <c r="A208"/>
      <c r="B208"/>
      <c r="C208"/>
      <c r="D208"/>
      <c r="E208"/>
    </row>
    <row r="209" spans="1:5" x14ac:dyDescent="0.25">
      <c r="A209"/>
      <c r="B209"/>
      <c r="C209"/>
      <c r="D209"/>
      <c r="E209"/>
    </row>
    <row r="210" spans="1:5" x14ac:dyDescent="0.25">
      <c r="A210"/>
      <c r="B210"/>
      <c r="C210"/>
      <c r="D210"/>
      <c r="E210"/>
    </row>
    <row r="211" spans="1:5" x14ac:dyDescent="0.25">
      <c r="A211"/>
      <c r="B211"/>
      <c r="C211"/>
      <c r="D211"/>
      <c r="E211"/>
    </row>
    <row r="212" spans="1:5" x14ac:dyDescent="0.25">
      <c r="A212"/>
      <c r="B212"/>
      <c r="C212"/>
      <c r="D212"/>
      <c r="E212"/>
    </row>
    <row r="213" spans="1:5" x14ac:dyDescent="0.25">
      <c r="A213"/>
      <c r="B213"/>
      <c r="C213"/>
      <c r="D213"/>
      <c r="E213"/>
    </row>
    <row r="214" spans="1:5" x14ac:dyDescent="0.25">
      <c r="A214"/>
      <c r="B214"/>
      <c r="C214"/>
      <c r="D214"/>
      <c r="E214"/>
    </row>
    <row r="215" spans="1:5" x14ac:dyDescent="0.25">
      <c r="A215"/>
      <c r="B215"/>
      <c r="C215"/>
      <c r="D215"/>
      <c r="E215"/>
    </row>
    <row r="216" spans="1:5" x14ac:dyDescent="0.25">
      <c r="A216"/>
      <c r="B216"/>
      <c r="C216"/>
      <c r="D216"/>
      <c r="E216"/>
    </row>
    <row r="217" spans="1:5" x14ac:dyDescent="0.25">
      <c r="A217"/>
      <c r="B217"/>
      <c r="C217"/>
      <c r="D217"/>
      <c r="E217"/>
    </row>
    <row r="218" spans="1:5" x14ac:dyDescent="0.25">
      <c r="A218"/>
      <c r="B218"/>
      <c r="C218"/>
      <c r="D218"/>
      <c r="E218"/>
    </row>
    <row r="219" spans="1:5" x14ac:dyDescent="0.25">
      <c r="A219"/>
      <c r="B219"/>
      <c r="C219"/>
      <c r="D219"/>
      <c r="E219"/>
    </row>
    <row r="220" spans="1:5" x14ac:dyDescent="0.25">
      <c r="A220"/>
      <c r="B220"/>
      <c r="C220"/>
      <c r="D220"/>
      <c r="E220"/>
    </row>
    <row r="221" spans="1:5" x14ac:dyDescent="0.25">
      <c r="A221"/>
      <c r="B221"/>
      <c r="C221"/>
      <c r="D221"/>
      <c r="E221"/>
    </row>
    <row r="222" spans="1:5" x14ac:dyDescent="0.25">
      <c r="A222"/>
      <c r="B222"/>
      <c r="C222"/>
      <c r="D222"/>
      <c r="E222"/>
    </row>
    <row r="223" spans="1:5" x14ac:dyDescent="0.25">
      <c r="A223"/>
      <c r="B223"/>
      <c r="C223"/>
      <c r="D223"/>
      <c r="E223"/>
    </row>
    <row r="224" spans="1:5" x14ac:dyDescent="0.25">
      <c r="A224"/>
      <c r="B224"/>
      <c r="C224"/>
      <c r="D224"/>
      <c r="E224"/>
    </row>
    <row r="225" spans="1:5" x14ac:dyDescent="0.25">
      <c r="A225"/>
      <c r="B225"/>
      <c r="C225"/>
      <c r="D225"/>
      <c r="E225"/>
    </row>
    <row r="226" spans="1:5" x14ac:dyDescent="0.25">
      <c r="A226"/>
      <c r="B226"/>
      <c r="C226"/>
      <c r="D226"/>
      <c r="E226"/>
    </row>
    <row r="227" spans="1:5" x14ac:dyDescent="0.25">
      <c r="A227"/>
      <c r="B227"/>
      <c r="C227"/>
      <c r="D227"/>
      <c r="E227"/>
    </row>
    <row r="228" spans="1:5" x14ac:dyDescent="0.25">
      <c r="A228"/>
      <c r="B228"/>
      <c r="C228"/>
      <c r="D228"/>
      <c r="E228"/>
    </row>
    <row r="229" spans="1:5" x14ac:dyDescent="0.25">
      <c r="A229"/>
      <c r="B229"/>
      <c r="C229"/>
      <c r="D229"/>
      <c r="E229"/>
    </row>
    <row r="230" spans="1:5" x14ac:dyDescent="0.25">
      <c r="A230"/>
      <c r="B230"/>
      <c r="C230"/>
      <c r="D230"/>
      <c r="E230"/>
    </row>
    <row r="231" spans="1:5" x14ac:dyDescent="0.25">
      <c r="A231"/>
      <c r="B231"/>
      <c r="C231"/>
      <c r="D231"/>
      <c r="E231"/>
    </row>
    <row r="232" spans="1:5" x14ac:dyDescent="0.25">
      <c r="A232"/>
      <c r="B232"/>
      <c r="C232"/>
      <c r="D232"/>
      <c r="E232"/>
    </row>
    <row r="233" spans="1:5" x14ac:dyDescent="0.25">
      <c r="A233"/>
      <c r="B233"/>
      <c r="C233"/>
      <c r="D233"/>
      <c r="E233"/>
    </row>
    <row r="234" spans="1:5" x14ac:dyDescent="0.25">
      <c r="A234"/>
      <c r="B234"/>
      <c r="C234"/>
      <c r="D234"/>
      <c r="E234"/>
    </row>
    <row r="235" spans="1:5" x14ac:dyDescent="0.25">
      <c r="A235"/>
      <c r="B235"/>
      <c r="C235"/>
      <c r="D235"/>
      <c r="E235"/>
    </row>
    <row r="236" spans="1:5" x14ac:dyDescent="0.25">
      <c r="A236"/>
      <c r="B236"/>
      <c r="C236"/>
      <c r="D236"/>
      <c r="E236"/>
    </row>
    <row r="237" spans="1:5" x14ac:dyDescent="0.25">
      <c r="A237"/>
      <c r="B237"/>
      <c r="C237"/>
      <c r="D237"/>
      <c r="E237"/>
    </row>
    <row r="238" spans="1:5" x14ac:dyDescent="0.25">
      <c r="A238"/>
      <c r="B238"/>
      <c r="C238"/>
      <c r="D238"/>
      <c r="E238"/>
    </row>
    <row r="239" spans="1:5" x14ac:dyDescent="0.25">
      <c r="A239"/>
      <c r="B239"/>
      <c r="C239"/>
      <c r="D239"/>
      <c r="E239"/>
    </row>
    <row r="240" spans="1:5" x14ac:dyDescent="0.25">
      <c r="A240"/>
      <c r="B240"/>
      <c r="C240"/>
      <c r="D240"/>
      <c r="E240"/>
    </row>
    <row r="241" spans="1:5" x14ac:dyDescent="0.25">
      <c r="A241"/>
      <c r="B241"/>
      <c r="C241"/>
      <c r="D241"/>
      <c r="E241"/>
    </row>
    <row r="242" spans="1:5" x14ac:dyDescent="0.25">
      <c r="A242"/>
      <c r="B242"/>
      <c r="C242"/>
      <c r="D242"/>
      <c r="E242"/>
    </row>
    <row r="243" spans="1:5" x14ac:dyDescent="0.25">
      <c r="A243"/>
      <c r="B243"/>
      <c r="C243"/>
      <c r="D243"/>
      <c r="E243"/>
    </row>
    <row r="244" spans="1:5" x14ac:dyDescent="0.25">
      <c r="A244"/>
      <c r="B244"/>
      <c r="C244"/>
      <c r="D244"/>
      <c r="E244"/>
    </row>
    <row r="245" spans="1:5" x14ac:dyDescent="0.25">
      <c r="A245"/>
      <c r="B245"/>
      <c r="C245"/>
      <c r="D245"/>
      <c r="E245"/>
    </row>
    <row r="246" spans="1:5" x14ac:dyDescent="0.25">
      <c r="A246"/>
      <c r="B246"/>
      <c r="C246"/>
      <c r="D246"/>
      <c r="E246"/>
    </row>
    <row r="247" spans="1:5" x14ac:dyDescent="0.25">
      <c r="A247"/>
      <c r="B247"/>
      <c r="C247"/>
      <c r="D247"/>
      <c r="E247"/>
    </row>
    <row r="248" spans="1:5" x14ac:dyDescent="0.25">
      <c r="A248"/>
      <c r="B248"/>
      <c r="C248"/>
      <c r="D248"/>
      <c r="E248"/>
    </row>
    <row r="249" spans="1:5" x14ac:dyDescent="0.25">
      <c r="A249"/>
      <c r="B249"/>
      <c r="C249"/>
      <c r="D249"/>
      <c r="E249"/>
    </row>
    <row r="250" spans="1:5" x14ac:dyDescent="0.25">
      <c r="A250"/>
      <c r="B250"/>
      <c r="C250"/>
      <c r="D250"/>
      <c r="E250"/>
    </row>
    <row r="251" spans="1:5" x14ac:dyDescent="0.25">
      <c r="A251"/>
      <c r="B251"/>
      <c r="C251"/>
      <c r="D251"/>
      <c r="E251"/>
    </row>
    <row r="252" spans="1:5" x14ac:dyDescent="0.25">
      <c r="A252"/>
      <c r="B252"/>
      <c r="C252"/>
      <c r="D252"/>
      <c r="E252"/>
    </row>
    <row r="253" spans="1:5" x14ac:dyDescent="0.25">
      <c r="A253"/>
      <c r="B253"/>
      <c r="C253"/>
      <c r="D253"/>
      <c r="E253"/>
    </row>
    <row r="254" spans="1:5" x14ac:dyDescent="0.25">
      <c r="A254"/>
      <c r="B254"/>
      <c r="C254"/>
      <c r="D254"/>
      <c r="E254"/>
    </row>
    <row r="255" spans="1:5" x14ac:dyDescent="0.25">
      <c r="A255"/>
      <c r="B255"/>
      <c r="C255"/>
      <c r="D255"/>
      <c r="E255"/>
    </row>
    <row r="256" spans="1:5" x14ac:dyDescent="0.25">
      <c r="A256"/>
      <c r="B256"/>
      <c r="C256"/>
      <c r="D256"/>
      <c r="E256"/>
    </row>
    <row r="257" spans="1:5" x14ac:dyDescent="0.25">
      <c r="A257"/>
      <c r="B257"/>
      <c r="C257"/>
      <c r="D257"/>
      <c r="E257"/>
    </row>
    <row r="258" spans="1:5" x14ac:dyDescent="0.25">
      <c r="A258"/>
      <c r="B258"/>
      <c r="C258"/>
      <c r="D258"/>
      <c r="E258"/>
    </row>
    <row r="259" spans="1:5" x14ac:dyDescent="0.25">
      <c r="A259"/>
      <c r="B259"/>
      <c r="C259"/>
      <c r="D259"/>
      <c r="E259"/>
    </row>
    <row r="260" spans="1:5" x14ac:dyDescent="0.25">
      <c r="A260"/>
      <c r="B260"/>
      <c r="C260"/>
      <c r="D260"/>
      <c r="E260"/>
    </row>
    <row r="261" spans="1:5" x14ac:dyDescent="0.25">
      <c r="A261"/>
      <c r="B261"/>
      <c r="C261"/>
      <c r="D261"/>
      <c r="E261"/>
    </row>
    <row r="262" spans="1:5" x14ac:dyDescent="0.25">
      <c r="A262"/>
      <c r="B262"/>
      <c r="C262"/>
      <c r="D262"/>
      <c r="E262"/>
    </row>
    <row r="263" spans="1:5" x14ac:dyDescent="0.25">
      <c r="A263"/>
      <c r="B263"/>
      <c r="C263"/>
      <c r="D263"/>
      <c r="E263"/>
    </row>
    <row r="264" spans="1:5" x14ac:dyDescent="0.25">
      <c r="A264"/>
      <c r="B264"/>
      <c r="C264"/>
      <c r="D264"/>
      <c r="E264"/>
    </row>
    <row r="265" spans="1:5" x14ac:dyDescent="0.25">
      <c r="A265"/>
      <c r="B265"/>
      <c r="C265"/>
      <c r="D265"/>
      <c r="E265"/>
    </row>
    <row r="266" spans="1:5" x14ac:dyDescent="0.25">
      <c r="A266"/>
      <c r="B266"/>
      <c r="C266"/>
      <c r="D266"/>
      <c r="E266"/>
    </row>
    <row r="267" spans="1:5" x14ac:dyDescent="0.25">
      <c r="A267"/>
      <c r="B267"/>
      <c r="C267"/>
      <c r="D267"/>
      <c r="E267"/>
    </row>
    <row r="268" spans="1:5" x14ac:dyDescent="0.25">
      <c r="A268"/>
      <c r="B268"/>
      <c r="C268"/>
      <c r="D268"/>
      <c r="E268"/>
    </row>
    <row r="269" spans="1:5" x14ac:dyDescent="0.25">
      <c r="A269"/>
      <c r="B269"/>
      <c r="C269"/>
      <c r="D269"/>
      <c r="E269"/>
    </row>
    <row r="270" spans="1:5" x14ac:dyDescent="0.25">
      <c r="A270"/>
      <c r="B270"/>
      <c r="C270"/>
      <c r="D270"/>
      <c r="E270"/>
    </row>
    <row r="271" spans="1:5" x14ac:dyDescent="0.25">
      <c r="A271"/>
      <c r="B271"/>
      <c r="C271"/>
      <c r="D271"/>
      <c r="E271"/>
    </row>
    <row r="272" spans="1:5" x14ac:dyDescent="0.25">
      <c r="A272"/>
      <c r="B272"/>
      <c r="C272"/>
      <c r="D272"/>
      <c r="E272"/>
    </row>
    <row r="273" spans="1:5" x14ac:dyDescent="0.25">
      <c r="A273"/>
      <c r="B273"/>
      <c r="C273"/>
      <c r="D273"/>
      <c r="E273"/>
    </row>
    <row r="274" spans="1:5" x14ac:dyDescent="0.25">
      <c r="A274"/>
      <c r="B274"/>
      <c r="C274"/>
      <c r="D274"/>
      <c r="E274"/>
    </row>
    <row r="275" spans="1:5" x14ac:dyDescent="0.25">
      <c r="A275"/>
      <c r="B275"/>
      <c r="C275"/>
      <c r="D275"/>
      <c r="E275"/>
    </row>
    <row r="276" spans="1:5" x14ac:dyDescent="0.25">
      <c r="A276"/>
      <c r="B276"/>
      <c r="C276"/>
      <c r="D276"/>
      <c r="E276"/>
    </row>
    <row r="277" spans="1:5" x14ac:dyDescent="0.25">
      <c r="A277"/>
      <c r="B277"/>
      <c r="C277"/>
      <c r="D277"/>
      <c r="E277"/>
    </row>
    <row r="278" spans="1:5" x14ac:dyDescent="0.25">
      <c r="A278"/>
      <c r="B278"/>
      <c r="C278"/>
      <c r="D278"/>
      <c r="E278"/>
    </row>
    <row r="279" spans="1:5" x14ac:dyDescent="0.25">
      <c r="A279"/>
      <c r="B279"/>
      <c r="C279"/>
      <c r="D279"/>
      <c r="E279"/>
    </row>
    <row r="280" spans="1:5" x14ac:dyDescent="0.25">
      <c r="A280"/>
      <c r="B280"/>
      <c r="C280"/>
      <c r="D280"/>
      <c r="E280"/>
    </row>
    <row r="281" spans="1:5" x14ac:dyDescent="0.25">
      <c r="A281"/>
      <c r="B281"/>
      <c r="C281"/>
      <c r="D281"/>
      <c r="E281"/>
    </row>
    <row r="282" spans="1:5" x14ac:dyDescent="0.25">
      <c r="A282"/>
      <c r="B282"/>
      <c r="C282"/>
      <c r="D282"/>
      <c r="E282"/>
    </row>
    <row r="283" spans="1:5" x14ac:dyDescent="0.25">
      <c r="A283"/>
      <c r="B283"/>
      <c r="C283"/>
      <c r="D283"/>
      <c r="E283"/>
    </row>
    <row r="284" spans="1:5" x14ac:dyDescent="0.25">
      <c r="A284"/>
      <c r="B284"/>
      <c r="C284"/>
      <c r="D284"/>
      <c r="E284"/>
    </row>
    <row r="285" spans="1:5" x14ac:dyDescent="0.25">
      <c r="A285"/>
      <c r="B285"/>
      <c r="C285"/>
      <c r="D285"/>
      <c r="E285"/>
    </row>
    <row r="286" spans="1:5" x14ac:dyDescent="0.25">
      <c r="A286"/>
      <c r="B286"/>
      <c r="C286"/>
      <c r="D286"/>
      <c r="E286"/>
    </row>
    <row r="287" spans="1:5" x14ac:dyDescent="0.25">
      <c r="A287"/>
      <c r="B287"/>
      <c r="C287"/>
      <c r="D287"/>
      <c r="E287"/>
    </row>
    <row r="288" spans="1:5" x14ac:dyDescent="0.25">
      <c r="A288"/>
      <c r="B288"/>
      <c r="C288"/>
      <c r="D288"/>
      <c r="E288"/>
    </row>
    <row r="289" spans="1:5" x14ac:dyDescent="0.25">
      <c r="A289"/>
      <c r="B289"/>
      <c r="C289"/>
      <c r="D289"/>
      <c r="E289"/>
    </row>
    <row r="290" spans="1:5" x14ac:dyDescent="0.25">
      <c r="A290"/>
      <c r="B290"/>
      <c r="C290"/>
      <c r="D290"/>
      <c r="E290"/>
    </row>
    <row r="291" spans="1:5" x14ac:dyDescent="0.25">
      <c r="A291"/>
      <c r="B291"/>
      <c r="C291"/>
      <c r="D291"/>
      <c r="E291"/>
    </row>
    <row r="292" spans="1:5" x14ac:dyDescent="0.25">
      <c r="A292"/>
      <c r="B292"/>
      <c r="C292"/>
      <c r="D292"/>
      <c r="E292"/>
    </row>
    <row r="293" spans="1:5" x14ac:dyDescent="0.25">
      <c r="A293"/>
      <c r="B293"/>
      <c r="C293"/>
      <c r="D293"/>
      <c r="E293"/>
    </row>
    <row r="294" spans="1:5" x14ac:dyDescent="0.25">
      <c r="A294"/>
      <c r="B294"/>
      <c r="C294"/>
      <c r="D294"/>
      <c r="E294"/>
    </row>
    <row r="295" spans="1:5" x14ac:dyDescent="0.25">
      <c r="A295"/>
      <c r="B295"/>
      <c r="C295"/>
      <c r="D295"/>
      <c r="E295"/>
    </row>
    <row r="296" spans="1:5" x14ac:dyDescent="0.25">
      <c r="A296"/>
      <c r="B296"/>
      <c r="C296"/>
      <c r="D296"/>
      <c r="E296"/>
    </row>
    <row r="297" spans="1:5" x14ac:dyDescent="0.25">
      <c r="A297"/>
      <c r="B297"/>
      <c r="C297"/>
      <c r="D297"/>
      <c r="E297"/>
    </row>
    <row r="298" spans="1:5" x14ac:dyDescent="0.25">
      <c r="A298"/>
      <c r="B298"/>
      <c r="C298"/>
      <c r="D298"/>
      <c r="E298"/>
    </row>
    <row r="299" spans="1:5" x14ac:dyDescent="0.25">
      <c r="A299"/>
      <c r="B299"/>
      <c r="C299"/>
      <c r="D299"/>
      <c r="E299"/>
    </row>
    <row r="300" spans="1:5" x14ac:dyDescent="0.25">
      <c r="A300"/>
      <c r="B300"/>
      <c r="C300"/>
      <c r="D300"/>
      <c r="E300"/>
    </row>
    <row r="301" spans="1:5" x14ac:dyDescent="0.25">
      <c r="A301"/>
      <c r="B301"/>
      <c r="C301"/>
      <c r="D301"/>
      <c r="E301"/>
    </row>
    <row r="302" spans="1:5" x14ac:dyDescent="0.25">
      <c r="A302"/>
      <c r="B302"/>
      <c r="C302"/>
      <c r="D302"/>
      <c r="E302"/>
    </row>
    <row r="303" spans="1:5" x14ac:dyDescent="0.25">
      <c r="A303"/>
      <c r="B303"/>
      <c r="C303"/>
      <c r="D303"/>
      <c r="E303"/>
    </row>
    <row r="304" spans="1:5" x14ac:dyDescent="0.25">
      <c r="A304"/>
      <c r="B304"/>
      <c r="C304" s="13"/>
      <c r="D304"/>
      <c r="E304"/>
    </row>
    <row r="305" spans="1:5" x14ac:dyDescent="0.25">
      <c r="A305"/>
      <c r="B305"/>
      <c r="C305" s="13"/>
      <c r="D305"/>
      <c r="E305"/>
    </row>
    <row r="306" spans="1:5" x14ac:dyDescent="0.25">
      <c r="A306"/>
      <c r="B306"/>
      <c r="C306" s="13"/>
      <c r="D306"/>
      <c r="E306"/>
    </row>
    <row r="307" spans="1:5" x14ac:dyDescent="0.25">
      <c r="A307"/>
      <c r="B307"/>
      <c r="C307" s="13"/>
      <c r="D307"/>
      <c r="E307"/>
    </row>
    <row r="308" spans="1:5" x14ac:dyDescent="0.25">
      <c r="A308"/>
      <c r="B308"/>
      <c r="C308" s="13"/>
      <c r="D308"/>
      <c r="E308"/>
    </row>
    <row r="309" spans="1:5" x14ac:dyDescent="0.25">
      <c r="A309"/>
      <c r="B309"/>
      <c r="C309" s="13"/>
      <c r="D309"/>
      <c r="E309"/>
    </row>
    <row r="310" spans="1:5" x14ac:dyDescent="0.25">
      <c r="A310"/>
      <c r="B310"/>
      <c r="C310" s="13"/>
      <c r="D310"/>
      <c r="E310"/>
    </row>
    <row r="311" spans="1:5" x14ac:dyDescent="0.25">
      <c r="A311"/>
      <c r="B311"/>
      <c r="C311" s="13"/>
      <c r="D311"/>
      <c r="E311"/>
    </row>
    <row r="312" spans="1:5" x14ac:dyDescent="0.25">
      <c r="A312"/>
      <c r="B312"/>
      <c r="C312" s="13"/>
      <c r="D312"/>
      <c r="E312"/>
    </row>
    <row r="313" spans="1:5" x14ac:dyDescent="0.25">
      <c r="A313"/>
      <c r="B313"/>
      <c r="C313" s="13"/>
      <c r="D313"/>
      <c r="E313"/>
    </row>
    <row r="314" spans="1:5" x14ac:dyDescent="0.25">
      <c r="A314"/>
      <c r="B314"/>
      <c r="C314" s="13"/>
      <c r="D314"/>
      <c r="E314"/>
    </row>
    <row r="315" spans="1:5" x14ac:dyDescent="0.25">
      <c r="A315"/>
      <c r="B315"/>
      <c r="C315" s="13"/>
      <c r="D315"/>
      <c r="E315"/>
    </row>
    <row r="316" spans="1:5" x14ac:dyDescent="0.25">
      <c r="A316"/>
      <c r="B316"/>
      <c r="C316" s="13"/>
      <c r="D316"/>
      <c r="E316"/>
    </row>
    <row r="317" spans="1:5" x14ac:dyDescent="0.25">
      <c r="A317"/>
      <c r="B317"/>
      <c r="C317" s="13"/>
      <c r="D317"/>
      <c r="E317"/>
    </row>
    <row r="318" spans="1:5" x14ac:dyDescent="0.25">
      <c r="A318"/>
      <c r="B318"/>
      <c r="C318" s="13"/>
      <c r="D318"/>
      <c r="E318"/>
    </row>
    <row r="319" spans="1:5" x14ac:dyDescent="0.25">
      <c r="A319"/>
      <c r="B319"/>
      <c r="C319" s="13"/>
      <c r="D319"/>
      <c r="E319"/>
    </row>
    <row r="320" spans="1:5" x14ac:dyDescent="0.25">
      <c r="A320"/>
      <c r="B320"/>
      <c r="C320" s="13"/>
      <c r="D320"/>
      <c r="E320"/>
    </row>
    <row r="321" spans="1:5" x14ac:dyDescent="0.25">
      <c r="A321"/>
      <c r="B321"/>
      <c r="C321" s="13"/>
      <c r="D321"/>
      <c r="E321"/>
    </row>
    <row r="322" spans="1:5" x14ac:dyDescent="0.25">
      <c r="A322"/>
      <c r="B322"/>
      <c r="C322" s="13"/>
      <c r="D322"/>
      <c r="E322"/>
    </row>
    <row r="323" spans="1:5" x14ac:dyDescent="0.25">
      <c r="A323"/>
      <c r="B323"/>
      <c r="C323" s="13"/>
      <c r="D323"/>
      <c r="E323"/>
    </row>
    <row r="324" spans="1:5" x14ac:dyDescent="0.25">
      <c r="A324"/>
      <c r="B324"/>
      <c r="C324" s="13"/>
      <c r="D324"/>
      <c r="E324"/>
    </row>
    <row r="325" spans="1:5" x14ac:dyDescent="0.25">
      <c r="A325"/>
      <c r="B325"/>
      <c r="C325" s="13"/>
      <c r="D325"/>
      <c r="E325"/>
    </row>
    <row r="326" spans="1:5" x14ac:dyDescent="0.25">
      <c r="A326"/>
      <c r="B326"/>
      <c r="C326" s="13"/>
      <c r="D326"/>
      <c r="E326"/>
    </row>
    <row r="327" spans="1:5" x14ac:dyDescent="0.25">
      <c r="A327"/>
      <c r="B327"/>
      <c r="C327" s="13"/>
      <c r="D327"/>
      <c r="E327"/>
    </row>
    <row r="328" spans="1:5" x14ac:dyDescent="0.25">
      <c r="A328"/>
      <c r="B328"/>
      <c r="C328" s="13"/>
      <c r="D328"/>
      <c r="E328"/>
    </row>
    <row r="329" spans="1:5" x14ac:dyDescent="0.25">
      <c r="A329"/>
      <c r="B329"/>
      <c r="C329" s="13"/>
      <c r="D329"/>
      <c r="E329"/>
    </row>
    <row r="330" spans="1:5" x14ac:dyDescent="0.25">
      <c r="A330"/>
      <c r="B330"/>
      <c r="C330" s="13"/>
      <c r="D330"/>
      <c r="E330"/>
    </row>
    <row r="331" spans="1:5" x14ac:dyDescent="0.25">
      <c r="A331"/>
      <c r="B331"/>
      <c r="C331" s="13"/>
      <c r="D331"/>
      <c r="E331"/>
    </row>
    <row r="332" spans="1:5" x14ac:dyDescent="0.25">
      <c r="A332"/>
      <c r="B332"/>
      <c r="C332" s="13"/>
      <c r="D332"/>
      <c r="E332"/>
    </row>
    <row r="333" spans="1:5" x14ac:dyDescent="0.25">
      <c r="A333"/>
      <c r="B333"/>
      <c r="C333" s="13"/>
      <c r="D333"/>
      <c r="E333"/>
    </row>
    <row r="334" spans="1:5" x14ac:dyDescent="0.25">
      <c r="A334"/>
      <c r="B334"/>
      <c r="C334" s="13"/>
      <c r="D334"/>
      <c r="E334"/>
    </row>
    <row r="335" spans="1:5" x14ac:dyDescent="0.25">
      <c r="A335"/>
      <c r="B335"/>
      <c r="C335" s="13"/>
      <c r="D335"/>
      <c r="E335"/>
    </row>
    <row r="336" spans="1:5" x14ac:dyDescent="0.25">
      <c r="A336"/>
      <c r="B336"/>
      <c r="C336" s="13"/>
      <c r="D336"/>
      <c r="E336"/>
    </row>
    <row r="337" spans="1:5" x14ac:dyDescent="0.25">
      <c r="A337"/>
      <c r="B337"/>
      <c r="C337" s="13"/>
      <c r="D337"/>
      <c r="E337"/>
    </row>
    <row r="338" spans="1:5" x14ac:dyDescent="0.25">
      <c r="A338"/>
      <c r="B338"/>
      <c r="C338" s="13"/>
      <c r="D338"/>
      <c r="E338"/>
    </row>
    <row r="339" spans="1:5" x14ac:dyDescent="0.25">
      <c r="A339"/>
      <c r="B339"/>
      <c r="C339" s="13"/>
      <c r="D339"/>
      <c r="E339"/>
    </row>
    <row r="340" spans="1:5" x14ac:dyDescent="0.25">
      <c r="A340"/>
      <c r="B340"/>
      <c r="C340" s="13"/>
      <c r="D340"/>
      <c r="E340"/>
    </row>
    <row r="341" spans="1:5" x14ac:dyDescent="0.25">
      <c r="A341"/>
      <c r="B341"/>
      <c r="C341" s="13"/>
      <c r="D341"/>
      <c r="E341"/>
    </row>
    <row r="342" spans="1:5" x14ac:dyDescent="0.25">
      <c r="A342"/>
      <c r="B342"/>
      <c r="C342" s="13"/>
      <c r="D342"/>
      <c r="E342"/>
    </row>
    <row r="343" spans="1:5" x14ac:dyDescent="0.25">
      <c r="A343"/>
      <c r="B343"/>
      <c r="C343" s="13"/>
      <c r="D343"/>
      <c r="E343"/>
    </row>
    <row r="344" spans="1:5" x14ac:dyDescent="0.25">
      <c r="A344"/>
      <c r="B344"/>
      <c r="C344" s="13"/>
      <c r="D344"/>
      <c r="E344"/>
    </row>
    <row r="345" spans="1:5" x14ac:dyDescent="0.25">
      <c r="A345"/>
      <c r="B345"/>
      <c r="C345" s="13"/>
      <c r="D345"/>
      <c r="E345"/>
    </row>
    <row r="346" spans="1:5" x14ac:dyDescent="0.25">
      <c r="A346"/>
      <c r="B346"/>
      <c r="C346" s="13"/>
      <c r="D346"/>
      <c r="E346"/>
    </row>
    <row r="347" spans="1:5" x14ac:dyDescent="0.25">
      <c r="A347"/>
      <c r="B347"/>
      <c r="C347" s="13"/>
      <c r="D347"/>
      <c r="E347"/>
    </row>
    <row r="348" spans="1:5" x14ac:dyDescent="0.25">
      <c r="A348"/>
      <c r="B348"/>
      <c r="C348" s="13"/>
      <c r="D348"/>
      <c r="E348"/>
    </row>
    <row r="349" spans="1:5" x14ac:dyDescent="0.25">
      <c r="A349"/>
      <c r="B349"/>
      <c r="C349" s="13"/>
      <c r="D349"/>
      <c r="E349"/>
    </row>
    <row r="350" spans="1:5" x14ac:dyDescent="0.25">
      <c r="A350"/>
      <c r="B350"/>
      <c r="C350" s="13"/>
      <c r="D350"/>
      <c r="E350"/>
    </row>
    <row r="351" spans="1:5" x14ac:dyDescent="0.25">
      <c r="A351"/>
      <c r="B351"/>
      <c r="C351" s="13"/>
      <c r="D351"/>
      <c r="E351"/>
    </row>
    <row r="352" spans="1:5" x14ac:dyDescent="0.25">
      <c r="A352"/>
      <c r="B352"/>
      <c r="C352" s="13"/>
      <c r="D352"/>
      <c r="E352"/>
    </row>
    <row r="353" spans="1:5" x14ac:dyDescent="0.25">
      <c r="A353"/>
      <c r="B353"/>
      <c r="C353" s="13"/>
      <c r="D353"/>
      <c r="E353"/>
    </row>
    <row r="354" spans="1:5" x14ac:dyDescent="0.25">
      <c r="A354"/>
      <c r="B354"/>
      <c r="C354" s="13"/>
      <c r="D354"/>
      <c r="E354"/>
    </row>
    <row r="355" spans="1:5" x14ac:dyDescent="0.25">
      <c r="A355"/>
      <c r="B355"/>
      <c r="C355" s="13"/>
      <c r="D355"/>
      <c r="E355"/>
    </row>
    <row r="356" spans="1:5" x14ac:dyDescent="0.25">
      <c r="A356"/>
      <c r="B356"/>
      <c r="C356" s="13"/>
      <c r="D356"/>
      <c r="E356"/>
    </row>
    <row r="357" spans="1:5" x14ac:dyDescent="0.25">
      <c r="A357"/>
      <c r="B357"/>
      <c r="C357" s="13"/>
      <c r="D357"/>
      <c r="E357"/>
    </row>
    <row r="358" spans="1:5" x14ac:dyDescent="0.25">
      <c r="A358"/>
      <c r="B358"/>
      <c r="C358" s="13"/>
      <c r="D358"/>
      <c r="E358"/>
    </row>
    <row r="359" spans="1:5" x14ac:dyDescent="0.25">
      <c r="A359"/>
      <c r="B359"/>
      <c r="C359" s="13"/>
      <c r="D359"/>
      <c r="E359"/>
    </row>
    <row r="360" spans="1:5" x14ac:dyDescent="0.25">
      <c r="A360"/>
      <c r="B360"/>
      <c r="C360" s="13"/>
      <c r="D360"/>
      <c r="E360"/>
    </row>
    <row r="361" spans="1:5" x14ac:dyDescent="0.25">
      <c r="A361"/>
      <c r="B361"/>
      <c r="C361" s="13"/>
      <c r="D361"/>
      <c r="E361"/>
    </row>
    <row r="362" spans="1:5" x14ac:dyDescent="0.25">
      <c r="A362"/>
      <c r="B362"/>
      <c r="C362" s="13"/>
      <c r="D362"/>
      <c r="E362"/>
    </row>
    <row r="363" spans="1:5" x14ac:dyDescent="0.25">
      <c r="A363"/>
      <c r="B363"/>
      <c r="C363" s="13"/>
      <c r="D363"/>
      <c r="E363"/>
    </row>
    <row r="364" spans="1:5" x14ac:dyDescent="0.25">
      <c r="A364"/>
      <c r="B364"/>
      <c r="C364" s="13"/>
      <c r="D364"/>
      <c r="E364"/>
    </row>
    <row r="365" spans="1:5" x14ac:dyDescent="0.25">
      <c r="A365"/>
      <c r="B365"/>
      <c r="C365" s="13"/>
      <c r="D365"/>
      <c r="E365"/>
    </row>
    <row r="366" spans="1:5" x14ac:dyDescent="0.25">
      <c r="A366"/>
      <c r="B366"/>
      <c r="C366" s="13"/>
      <c r="D366"/>
      <c r="E366"/>
    </row>
    <row r="367" spans="1:5" x14ac:dyDescent="0.25">
      <c r="A367"/>
      <c r="B367"/>
      <c r="C367" s="13"/>
      <c r="D367"/>
      <c r="E367"/>
    </row>
    <row r="368" spans="1:5" x14ac:dyDescent="0.25">
      <c r="A368"/>
      <c r="B368"/>
      <c r="C368" s="13"/>
      <c r="D368"/>
      <c r="E368"/>
    </row>
    <row r="369" spans="1:5" x14ac:dyDescent="0.25">
      <c r="A369"/>
      <c r="B369"/>
      <c r="C369" s="13"/>
      <c r="D369"/>
      <c r="E369"/>
    </row>
    <row r="370" spans="1:5" x14ac:dyDescent="0.25">
      <c r="A370"/>
      <c r="B370"/>
      <c r="C370" s="13"/>
      <c r="D370"/>
      <c r="E370"/>
    </row>
    <row r="371" spans="1:5" x14ac:dyDescent="0.25">
      <c r="A371"/>
      <c r="B371"/>
      <c r="C371" s="13"/>
      <c r="D371"/>
      <c r="E371"/>
    </row>
    <row r="372" spans="1:5" x14ac:dyDescent="0.25">
      <c r="A372"/>
      <c r="B372"/>
      <c r="C372" s="13"/>
      <c r="D372"/>
      <c r="E372"/>
    </row>
    <row r="373" spans="1:5" x14ac:dyDescent="0.25">
      <c r="A373"/>
      <c r="B373"/>
      <c r="C373" s="13"/>
      <c r="D373"/>
      <c r="E373"/>
    </row>
    <row r="374" spans="1:5" x14ac:dyDescent="0.25">
      <c r="A374"/>
      <c r="B374"/>
      <c r="C374" s="13"/>
      <c r="D374"/>
      <c r="E374"/>
    </row>
    <row r="375" spans="1:5" x14ac:dyDescent="0.25">
      <c r="A375"/>
      <c r="B375"/>
      <c r="C375" s="13"/>
      <c r="D375"/>
      <c r="E375"/>
    </row>
    <row r="376" spans="1:5" x14ac:dyDescent="0.25">
      <c r="A376"/>
      <c r="B376"/>
      <c r="C376" s="13"/>
      <c r="D376"/>
      <c r="E376"/>
    </row>
    <row r="377" spans="1:5" x14ac:dyDescent="0.25">
      <c r="A377"/>
      <c r="B377"/>
      <c r="C377" s="13"/>
      <c r="D377"/>
      <c r="E377"/>
    </row>
    <row r="378" spans="1:5" x14ac:dyDescent="0.25">
      <c r="A378"/>
      <c r="B378"/>
      <c r="C378" s="13"/>
      <c r="D378"/>
      <c r="E378"/>
    </row>
    <row r="379" spans="1:5" x14ac:dyDescent="0.25">
      <c r="A379"/>
      <c r="B379"/>
      <c r="C379" s="13"/>
      <c r="D379"/>
      <c r="E379"/>
    </row>
    <row r="380" spans="1:5" x14ac:dyDescent="0.25">
      <c r="A380"/>
      <c r="B380"/>
      <c r="C380" s="13"/>
      <c r="D380"/>
      <c r="E380"/>
    </row>
    <row r="381" spans="1:5" x14ac:dyDescent="0.25">
      <c r="A381"/>
      <c r="B381"/>
      <c r="C381" s="13"/>
      <c r="D381"/>
      <c r="E381"/>
    </row>
    <row r="382" spans="1:5" x14ac:dyDescent="0.25">
      <c r="A382"/>
      <c r="B382"/>
      <c r="C382" s="13"/>
      <c r="D382"/>
      <c r="E382"/>
    </row>
    <row r="383" spans="1:5" x14ac:dyDescent="0.25">
      <c r="A383"/>
      <c r="B383"/>
      <c r="C383" s="13"/>
      <c r="D383"/>
      <c r="E383"/>
    </row>
    <row r="384" spans="1:5" x14ac:dyDescent="0.25">
      <c r="A384"/>
      <c r="B384"/>
      <c r="C384" s="13"/>
      <c r="D384"/>
      <c r="E384"/>
    </row>
    <row r="385" spans="1:5" x14ac:dyDescent="0.25">
      <c r="A385"/>
      <c r="B385"/>
      <c r="C385" s="13"/>
      <c r="D385"/>
      <c r="E385"/>
    </row>
    <row r="386" spans="1:5" x14ac:dyDescent="0.25">
      <c r="A386"/>
      <c r="B386"/>
      <c r="C386" s="13"/>
      <c r="D386"/>
      <c r="E386"/>
    </row>
    <row r="387" spans="1:5" x14ac:dyDescent="0.25">
      <c r="A387"/>
      <c r="B387"/>
      <c r="C387" s="13"/>
      <c r="D387"/>
      <c r="E387"/>
    </row>
    <row r="388" spans="1:5" x14ac:dyDescent="0.25">
      <c r="A388"/>
      <c r="B388"/>
      <c r="C388" s="13"/>
      <c r="D388"/>
      <c r="E388"/>
    </row>
    <row r="389" spans="1:5" x14ac:dyDescent="0.25">
      <c r="A389"/>
      <c r="B389"/>
      <c r="C389" s="13"/>
      <c r="D389"/>
      <c r="E389"/>
    </row>
    <row r="390" spans="1:5" x14ac:dyDescent="0.25">
      <c r="A390"/>
      <c r="B390"/>
      <c r="C390" s="13"/>
      <c r="D390"/>
      <c r="E390"/>
    </row>
    <row r="391" spans="1:5" x14ac:dyDescent="0.25">
      <c r="A391"/>
      <c r="B391"/>
      <c r="C391" s="13"/>
      <c r="D391"/>
      <c r="E391"/>
    </row>
    <row r="392" spans="1:5" x14ac:dyDescent="0.25">
      <c r="A392"/>
      <c r="B392"/>
      <c r="C392" s="13"/>
      <c r="D392"/>
      <c r="E392"/>
    </row>
    <row r="393" spans="1:5" x14ac:dyDescent="0.25">
      <c r="A393"/>
      <c r="B393"/>
      <c r="C393" s="13"/>
      <c r="D393"/>
      <c r="E393"/>
    </row>
    <row r="394" spans="1:5" x14ac:dyDescent="0.25">
      <c r="A394"/>
      <c r="B394"/>
      <c r="C394" s="13"/>
      <c r="D394"/>
      <c r="E394"/>
    </row>
    <row r="395" spans="1:5" x14ac:dyDescent="0.25">
      <c r="A395"/>
      <c r="B395"/>
      <c r="C395" s="13"/>
      <c r="D395"/>
      <c r="E395"/>
    </row>
    <row r="396" spans="1:5" x14ac:dyDescent="0.25">
      <c r="A396"/>
      <c r="B396"/>
      <c r="C396" s="13"/>
      <c r="D396"/>
      <c r="E396"/>
    </row>
    <row r="397" spans="1:5" x14ac:dyDescent="0.25">
      <c r="A397"/>
      <c r="B397"/>
      <c r="C397" s="13"/>
      <c r="D397"/>
      <c r="E397"/>
    </row>
    <row r="398" spans="1:5" x14ac:dyDescent="0.25">
      <c r="A398"/>
      <c r="B398"/>
      <c r="C398" s="13"/>
      <c r="D398"/>
      <c r="E398"/>
    </row>
    <row r="399" spans="1:5" x14ac:dyDescent="0.25">
      <c r="A399"/>
      <c r="B399"/>
      <c r="C399" s="13"/>
      <c r="D399"/>
      <c r="E399"/>
    </row>
    <row r="400" spans="1:5" x14ac:dyDescent="0.25">
      <c r="A400"/>
      <c r="B400"/>
      <c r="C400" s="13"/>
      <c r="D400"/>
      <c r="E400"/>
    </row>
    <row r="401" spans="1:5" x14ac:dyDescent="0.25">
      <c r="A401"/>
      <c r="B401"/>
      <c r="C401" s="13"/>
      <c r="D401"/>
      <c r="E401"/>
    </row>
    <row r="402" spans="1:5" x14ac:dyDescent="0.25">
      <c r="A402"/>
      <c r="B402"/>
      <c r="C402" s="13"/>
      <c r="D402"/>
      <c r="E402"/>
    </row>
    <row r="403" spans="1:5" x14ac:dyDescent="0.25">
      <c r="A403"/>
      <c r="B403"/>
      <c r="C403" s="13"/>
      <c r="D403"/>
      <c r="E403"/>
    </row>
    <row r="404" spans="1:5" x14ac:dyDescent="0.25">
      <c r="A404"/>
      <c r="B404"/>
      <c r="C404" s="13"/>
      <c r="D404"/>
      <c r="E404"/>
    </row>
    <row r="405" spans="1:5" x14ac:dyDescent="0.25">
      <c r="A405"/>
      <c r="B405"/>
      <c r="C405" s="13"/>
      <c r="D405"/>
      <c r="E405"/>
    </row>
    <row r="406" spans="1:5" x14ac:dyDescent="0.25">
      <c r="A406"/>
      <c r="B406"/>
      <c r="C406" s="13"/>
      <c r="D406"/>
      <c r="E406"/>
    </row>
    <row r="407" spans="1:5" x14ac:dyDescent="0.25">
      <c r="A407"/>
      <c r="B407"/>
      <c r="C407" s="13"/>
      <c r="D407"/>
      <c r="E407"/>
    </row>
    <row r="408" spans="1:5" x14ac:dyDescent="0.25">
      <c r="A408"/>
      <c r="B408"/>
      <c r="C408" s="13"/>
      <c r="D408"/>
      <c r="E408"/>
    </row>
    <row r="409" spans="1:5" x14ac:dyDescent="0.25">
      <c r="A409"/>
      <c r="B409"/>
      <c r="C409" s="13"/>
      <c r="D409"/>
      <c r="E409"/>
    </row>
    <row r="410" spans="1:5" x14ac:dyDescent="0.25">
      <c r="A410"/>
      <c r="B410"/>
      <c r="C410" s="13"/>
      <c r="D410"/>
      <c r="E410"/>
    </row>
    <row r="411" spans="1:5" x14ac:dyDescent="0.25">
      <c r="A411"/>
      <c r="B411"/>
      <c r="C411" s="13"/>
      <c r="D411"/>
      <c r="E411"/>
    </row>
    <row r="412" spans="1:5" x14ac:dyDescent="0.25">
      <c r="A412"/>
      <c r="B412"/>
      <c r="C412" s="13"/>
      <c r="D412"/>
      <c r="E412"/>
    </row>
    <row r="413" spans="1:5" x14ac:dyDescent="0.25">
      <c r="A413"/>
      <c r="B413"/>
      <c r="C413" s="13"/>
      <c r="D413"/>
      <c r="E413"/>
    </row>
    <row r="414" spans="1:5" x14ac:dyDescent="0.25">
      <c r="A414"/>
      <c r="B414"/>
      <c r="C414" s="13"/>
      <c r="D414"/>
      <c r="E414"/>
    </row>
    <row r="415" spans="1:5" x14ac:dyDescent="0.25">
      <c r="A415"/>
      <c r="B415"/>
      <c r="C415" s="13"/>
      <c r="D415"/>
      <c r="E415"/>
    </row>
    <row r="416" spans="1:5" x14ac:dyDescent="0.25">
      <c r="A416"/>
      <c r="B416"/>
      <c r="C416" s="13"/>
      <c r="D416"/>
      <c r="E416"/>
    </row>
    <row r="417" spans="1:5" x14ac:dyDescent="0.25">
      <c r="A417"/>
      <c r="B417"/>
      <c r="C417" s="13"/>
      <c r="D417"/>
      <c r="E417"/>
    </row>
    <row r="418" spans="1:5" x14ac:dyDescent="0.25">
      <c r="A418"/>
      <c r="B418"/>
      <c r="C418" s="13"/>
      <c r="D418"/>
      <c r="E418"/>
    </row>
    <row r="419" spans="1:5" x14ac:dyDescent="0.25">
      <c r="A419"/>
      <c r="B419"/>
      <c r="C419" s="13"/>
      <c r="D419"/>
      <c r="E419"/>
    </row>
    <row r="420" spans="1:5" x14ac:dyDescent="0.25">
      <c r="A420"/>
      <c r="B420"/>
      <c r="C420" s="13"/>
      <c r="D420"/>
      <c r="E420"/>
    </row>
    <row r="421" spans="1:5" x14ac:dyDescent="0.25">
      <c r="A421"/>
      <c r="B421"/>
      <c r="C421" s="13"/>
      <c r="D421"/>
      <c r="E421"/>
    </row>
    <row r="422" spans="1:5" x14ac:dyDescent="0.25">
      <c r="A422"/>
      <c r="B422"/>
      <c r="C422" s="13"/>
      <c r="D422"/>
      <c r="E422"/>
    </row>
    <row r="423" spans="1:5" x14ac:dyDescent="0.25">
      <c r="A423"/>
      <c r="B423"/>
      <c r="C423" s="13"/>
      <c r="D423"/>
      <c r="E423"/>
    </row>
    <row r="424" spans="1:5" x14ac:dyDescent="0.25">
      <c r="A424"/>
      <c r="B424"/>
      <c r="C424" s="13"/>
      <c r="D424"/>
      <c r="E424"/>
    </row>
    <row r="425" spans="1:5" x14ac:dyDescent="0.25">
      <c r="A425"/>
      <c r="B425"/>
      <c r="C425" s="13"/>
      <c r="D425"/>
      <c r="E425"/>
    </row>
    <row r="426" spans="1:5" x14ac:dyDescent="0.25">
      <c r="A426"/>
      <c r="B426"/>
      <c r="C426" s="13"/>
      <c r="D426"/>
      <c r="E426"/>
    </row>
    <row r="427" spans="1:5" x14ac:dyDescent="0.25">
      <c r="A427"/>
      <c r="B427"/>
      <c r="C427" s="13"/>
      <c r="D427"/>
      <c r="E427"/>
    </row>
    <row r="428" spans="1:5" x14ac:dyDescent="0.25">
      <c r="A428"/>
      <c r="B428"/>
      <c r="C428" s="13"/>
      <c r="D428"/>
      <c r="E428"/>
    </row>
    <row r="429" spans="1:5" x14ac:dyDescent="0.25">
      <c r="A429"/>
      <c r="B429"/>
      <c r="C429" s="13"/>
      <c r="D429"/>
      <c r="E429"/>
    </row>
    <row r="430" spans="1:5" x14ac:dyDescent="0.25">
      <c r="A430"/>
      <c r="B430"/>
      <c r="C430" s="13"/>
      <c r="D430"/>
      <c r="E430"/>
    </row>
    <row r="431" spans="1:5" x14ac:dyDescent="0.25">
      <c r="A431"/>
      <c r="B431"/>
      <c r="C431" s="13"/>
      <c r="D431"/>
      <c r="E431"/>
    </row>
    <row r="432" spans="1:5" x14ac:dyDescent="0.25">
      <c r="A432"/>
      <c r="B432"/>
      <c r="C432" s="13"/>
      <c r="D432"/>
      <c r="E432"/>
    </row>
    <row r="433" spans="1:5" x14ac:dyDescent="0.25">
      <c r="A433"/>
      <c r="B433"/>
      <c r="C433" s="13"/>
      <c r="D433"/>
      <c r="E433"/>
    </row>
    <row r="434" spans="1:5" x14ac:dyDescent="0.25">
      <c r="A434"/>
      <c r="B434"/>
      <c r="C434" s="13"/>
      <c r="D434"/>
      <c r="E434"/>
    </row>
    <row r="435" spans="1:5" x14ac:dyDescent="0.25">
      <c r="A435"/>
      <c r="B435"/>
      <c r="C435" s="13"/>
      <c r="D435"/>
      <c r="E435"/>
    </row>
    <row r="436" spans="1:5" x14ac:dyDescent="0.25">
      <c r="A436"/>
      <c r="B436"/>
      <c r="C436" s="13"/>
      <c r="D436"/>
      <c r="E436"/>
    </row>
    <row r="437" spans="1:5" x14ac:dyDescent="0.25">
      <c r="A437"/>
      <c r="B437"/>
      <c r="C437" s="13"/>
      <c r="D437"/>
      <c r="E437"/>
    </row>
    <row r="438" spans="1:5" x14ac:dyDescent="0.25">
      <c r="A438"/>
      <c r="B438"/>
      <c r="C438" s="13"/>
      <c r="D438"/>
      <c r="E438"/>
    </row>
    <row r="439" spans="1:5" x14ac:dyDescent="0.25">
      <c r="A439"/>
      <c r="B439"/>
      <c r="C439" s="13"/>
      <c r="D439"/>
      <c r="E439"/>
    </row>
    <row r="440" spans="1:5" x14ac:dyDescent="0.25">
      <c r="A440"/>
      <c r="B440"/>
      <c r="C440" s="13"/>
      <c r="D440"/>
      <c r="E440"/>
    </row>
    <row r="441" spans="1:5" x14ac:dyDescent="0.25">
      <c r="A441"/>
      <c r="B441"/>
      <c r="C441" s="13"/>
      <c r="D441"/>
      <c r="E441"/>
    </row>
    <row r="442" spans="1:5" x14ac:dyDescent="0.25">
      <c r="A442"/>
      <c r="B442"/>
      <c r="C442" s="13"/>
      <c r="D442"/>
      <c r="E442"/>
    </row>
    <row r="443" spans="1:5" x14ac:dyDescent="0.25">
      <c r="A443"/>
      <c r="B443"/>
      <c r="C443" s="13"/>
      <c r="D443"/>
      <c r="E443"/>
    </row>
    <row r="444" spans="1:5" x14ac:dyDescent="0.25">
      <c r="A444"/>
      <c r="B444"/>
      <c r="C444" s="13"/>
      <c r="D444"/>
      <c r="E444"/>
    </row>
    <row r="445" spans="1:5" x14ac:dyDescent="0.25">
      <c r="A445"/>
      <c r="B445"/>
      <c r="C445" s="13"/>
      <c r="D445"/>
      <c r="E445"/>
    </row>
    <row r="446" spans="1:5" x14ac:dyDescent="0.25">
      <c r="A446"/>
      <c r="B446"/>
      <c r="C446" s="13"/>
      <c r="D446"/>
      <c r="E446"/>
    </row>
    <row r="447" spans="1:5" x14ac:dyDescent="0.25">
      <c r="A447"/>
      <c r="B447"/>
      <c r="C447" s="13"/>
      <c r="D447"/>
      <c r="E447"/>
    </row>
    <row r="448" spans="1:5" x14ac:dyDescent="0.25">
      <c r="A448"/>
      <c r="B448"/>
      <c r="C448" s="13"/>
      <c r="D448"/>
      <c r="E448"/>
    </row>
    <row r="449" spans="1:5" x14ac:dyDescent="0.25">
      <c r="A449"/>
      <c r="B449"/>
      <c r="C449" s="13"/>
      <c r="D449"/>
      <c r="E449"/>
    </row>
    <row r="450" spans="1:5" x14ac:dyDescent="0.25">
      <c r="A450"/>
      <c r="B450"/>
      <c r="C450" s="13"/>
      <c r="D450"/>
      <c r="E450"/>
    </row>
    <row r="451" spans="1:5" x14ac:dyDescent="0.25">
      <c r="A451"/>
      <c r="B451"/>
      <c r="C451" s="13"/>
      <c r="D451"/>
      <c r="E451"/>
    </row>
    <row r="452" spans="1:5" x14ac:dyDescent="0.25">
      <c r="A452"/>
      <c r="B452"/>
      <c r="C452" s="13"/>
      <c r="D452"/>
      <c r="E452"/>
    </row>
    <row r="453" spans="1:5" x14ac:dyDescent="0.25">
      <c r="A453"/>
      <c r="B453"/>
      <c r="C453" s="13"/>
      <c r="D453"/>
      <c r="E453"/>
    </row>
    <row r="454" spans="1:5" x14ac:dyDescent="0.25">
      <c r="A454"/>
      <c r="B454"/>
      <c r="C454" s="13"/>
      <c r="D454"/>
      <c r="E454"/>
    </row>
    <row r="455" spans="1:5" x14ac:dyDescent="0.25">
      <c r="A455"/>
      <c r="B455"/>
      <c r="C455" s="13"/>
      <c r="D455"/>
      <c r="E455"/>
    </row>
    <row r="456" spans="1:5" x14ac:dyDescent="0.25">
      <c r="A456"/>
      <c r="B456"/>
      <c r="C456" s="13"/>
      <c r="D456"/>
      <c r="E456"/>
    </row>
    <row r="457" spans="1:5" x14ac:dyDescent="0.25">
      <c r="A457"/>
      <c r="B457"/>
      <c r="C457" s="13"/>
      <c r="D457"/>
      <c r="E457"/>
    </row>
    <row r="458" spans="1:5" x14ac:dyDescent="0.25">
      <c r="A458"/>
      <c r="B458"/>
      <c r="C458" s="13"/>
      <c r="D458"/>
      <c r="E458"/>
    </row>
    <row r="459" spans="1:5" x14ac:dyDescent="0.25">
      <c r="A459"/>
      <c r="B459"/>
      <c r="C459" s="13"/>
      <c r="D459"/>
      <c r="E459"/>
    </row>
    <row r="460" spans="1:5" x14ac:dyDescent="0.25">
      <c r="A460"/>
      <c r="B460"/>
      <c r="C460" s="13"/>
      <c r="D460"/>
      <c r="E460"/>
    </row>
    <row r="461" spans="1:5" x14ac:dyDescent="0.25">
      <c r="A461"/>
      <c r="B461"/>
      <c r="C461" s="13"/>
      <c r="D461"/>
      <c r="E461"/>
    </row>
    <row r="462" spans="1:5" x14ac:dyDescent="0.25">
      <c r="A462"/>
      <c r="B462"/>
      <c r="C462" s="13"/>
      <c r="D462"/>
      <c r="E462"/>
    </row>
    <row r="463" spans="1:5" x14ac:dyDescent="0.25">
      <c r="A463"/>
      <c r="B463"/>
      <c r="C463" s="13"/>
      <c r="D463"/>
      <c r="E463"/>
    </row>
    <row r="464" spans="1:5" x14ac:dyDescent="0.25">
      <c r="A464"/>
      <c r="B464"/>
      <c r="C464" s="13"/>
      <c r="D464"/>
      <c r="E464"/>
    </row>
    <row r="465" spans="1:5" x14ac:dyDescent="0.25">
      <c r="A465"/>
      <c r="B465"/>
      <c r="C465" s="13"/>
      <c r="D465"/>
      <c r="E465"/>
    </row>
    <row r="466" spans="1:5" x14ac:dyDescent="0.25">
      <c r="A466"/>
      <c r="B466"/>
      <c r="C466" s="13"/>
      <c r="D466"/>
      <c r="E466"/>
    </row>
    <row r="467" spans="1:5" x14ac:dyDescent="0.25">
      <c r="A467"/>
      <c r="B467"/>
      <c r="C467" s="13"/>
      <c r="D467"/>
      <c r="E467"/>
    </row>
    <row r="468" spans="1:5" x14ac:dyDescent="0.25">
      <c r="A468"/>
      <c r="B468"/>
      <c r="C468" s="13"/>
      <c r="D468"/>
      <c r="E468"/>
    </row>
    <row r="469" spans="1:5" x14ac:dyDescent="0.25">
      <c r="A469"/>
      <c r="B469"/>
      <c r="C469" s="13"/>
      <c r="D469"/>
      <c r="E469"/>
    </row>
    <row r="470" spans="1:5" x14ac:dyDescent="0.25">
      <c r="A470"/>
      <c r="B470"/>
      <c r="C470" s="13"/>
      <c r="D470"/>
      <c r="E470"/>
    </row>
    <row r="471" spans="1:5" x14ac:dyDescent="0.25">
      <c r="A471"/>
      <c r="B471"/>
      <c r="C471" s="13"/>
      <c r="D471"/>
      <c r="E471"/>
    </row>
    <row r="472" spans="1:5" x14ac:dyDescent="0.25">
      <c r="A472"/>
      <c r="B472"/>
      <c r="C472" s="13"/>
      <c r="D472"/>
      <c r="E472"/>
    </row>
    <row r="473" spans="1:5" x14ac:dyDescent="0.25">
      <c r="A473"/>
      <c r="B473"/>
      <c r="C473" s="13"/>
      <c r="D473"/>
      <c r="E473"/>
    </row>
    <row r="474" spans="1:5" x14ac:dyDescent="0.25">
      <c r="A474"/>
      <c r="B474"/>
      <c r="C474" s="13"/>
      <c r="D474"/>
      <c r="E474"/>
    </row>
    <row r="475" spans="1:5" x14ac:dyDescent="0.25">
      <c r="A475"/>
      <c r="B475"/>
      <c r="C475" s="13"/>
      <c r="D475"/>
      <c r="E475"/>
    </row>
    <row r="476" spans="1:5" x14ac:dyDescent="0.25">
      <c r="A476"/>
      <c r="B476"/>
      <c r="C476" s="13"/>
      <c r="D476"/>
      <c r="E476"/>
    </row>
    <row r="477" spans="1:5" x14ac:dyDescent="0.25">
      <c r="A477"/>
      <c r="B477"/>
      <c r="C477" s="13"/>
      <c r="D477"/>
      <c r="E477"/>
    </row>
    <row r="478" spans="1:5" x14ac:dyDescent="0.25">
      <c r="A478"/>
      <c r="B478"/>
      <c r="C478" s="13"/>
      <c r="D478"/>
      <c r="E478"/>
    </row>
    <row r="479" spans="1:5" x14ac:dyDescent="0.25">
      <c r="A479"/>
      <c r="B479"/>
      <c r="C479" s="13"/>
      <c r="D479"/>
      <c r="E479"/>
    </row>
    <row r="480" spans="1:5" x14ac:dyDescent="0.25">
      <c r="A480"/>
      <c r="B480"/>
      <c r="C480" s="13"/>
      <c r="D480"/>
      <c r="E480"/>
    </row>
    <row r="481" spans="1:5" x14ac:dyDescent="0.25">
      <c r="A481"/>
      <c r="B481"/>
      <c r="C481" s="13"/>
      <c r="D481"/>
      <c r="E481"/>
    </row>
    <row r="482" spans="1:5" x14ac:dyDescent="0.25">
      <c r="A482"/>
      <c r="B482"/>
      <c r="C482" s="13"/>
      <c r="D482"/>
      <c r="E482"/>
    </row>
    <row r="483" spans="1:5" x14ac:dyDescent="0.25">
      <c r="A483"/>
      <c r="B483"/>
      <c r="C483" s="13"/>
      <c r="D483"/>
      <c r="E483"/>
    </row>
    <row r="484" spans="1:5" x14ac:dyDescent="0.25">
      <c r="A484"/>
      <c r="B484"/>
      <c r="C484" s="13"/>
      <c r="D484"/>
      <c r="E484"/>
    </row>
    <row r="485" spans="1:5" x14ac:dyDescent="0.25">
      <c r="A485"/>
      <c r="B485"/>
      <c r="C485" s="13"/>
      <c r="D485"/>
      <c r="E485"/>
    </row>
    <row r="486" spans="1:5" x14ac:dyDescent="0.25">
      <c r="A486"/>
      <c r="B486"/>
      <c r="C486" s="13"/>
      <c r="D486"/>
      <c r="E486"/>
    </row>
    <row r="487" spans="1:5" x14ac:dyDescent="0.25">
      <c r="A487"/>
      <c r="B487"/>
      <c r="C487" s="13"/>
      <c r="D487"/>
      <c r="E487"/>
    </row>
    <row r="488" spans="1:5" x14ac:dyDescent="0.25">
      <c r="A488"/>
      <c r="B488"/>
      <c r="C488" s="13"/>
      <c r="D488"/>
      <c r="E488"/>
    </row>
    <row r="489" spans="1:5" x14ac:dyDescent="0.25">
      <c r="A489"/>
      <c r="B489"/>
      <c r="C489" s="13"/>
      <c r="D489"/>
      <c r="E489"/>
    </row>
    <row r="490" spans="1:5" x14ac:dyDescent="0.25">
      <c r="A490"/>
      <c r="B490"/>
      <c r="C490" s="13"/>
      <c r="D490"/>
      <c r="E490"/>
    </row>
    <row r="491" spans="1:5" x14ac:dyDescent="0.25">
      <c r="A491"/>
      <c r="B491"/>
      <c r="C491" s="13"/>
      <c r="D491"/>
      <c r="E491"/>
    </row>
    <row r="492" spans="1:5" x14ac:dyDescent="0.25">
      <c r="A492"/>
      <c r="B492"/>
      <c r="C492" s="13"/>
      <c r="D492"/>
      <c r="E492"/>
    </row>
    <row r="493" spans="1:5" x14ac:dyDescent="0.25">
      <c r="A493"/>
      <c r="B493"/>
      <c r="C493" s="13"/>
      <c r="D493"/>
      <c r="E493"/>
    </row>
    <row r="494" spans="1:5" x14ac:dyDescent="0.25">
      <c r="A494"/>
      <c r="B494"/>
      <c r="C494" s="13"/>
      <c r="D494"/>
      <c r="E494"/>
    </row>
    <row r="495" spans="1:5" x14ac:dyDescent="0.25">
      <c r="A495"/>
      <c r="B495"/>
      <c r="C495" s="13"/>
      <c r="D495"/>
      <c r="E495"/>
    </row>
    <row r="496" spans="1:5" x14ac:dyDescent="0.25">
      <c r="A496"/>
      <c r="B496"/>
      <c r="C496" s="13"/>
      <c r="D496"/>
      <c r="E496"/>
    </row>
    <row r="497" spans="1:5" x14ac:dyDescent="0.25">
      <c r="A497"/>
      <c r="B497"/>
      <c r="C497" s="13"/>
      <c r="D497"/>
      <c r="E497"/>
    </row>
    <row r="498" spans="1:5" x14ac:dyDescent="0.25">
      <c r="A498"/>
      <c r="B498"/>
      <c r="C498" s="13"/>
      <c r="D498"/>
      <c r="E498"/>
    </row>
    <row r="499" spans="1:5" x14ac:dyDescent="0.25">
      <c r="A499"/>
      <c r="B499"/>
      <c r="C499" s="13"/>
      <c r="D499"/>
      <c r="E499"/>
    </row>
    <row r="500" spans="1:5" x14ac:dyDescent="0.25">
      <c r="A500"/>
      <c r="B500"/>
      <c r="C500" s="13"/>
      <c r="D500"/>
      <c r="E500"/>
    </row>
    <row r="501" spans="1:5" x14ac:dyDescent="0.25">
      <c r="A501"/>
      <c r="B501"/>
      <c r="C501" s="13"/>
      <c r="D501"/>
      <c r="E501"/>
    </row>
    <row r="502" spans="1:5" x14ac:dyDescent="0.25">
      <c r="A502"/>
      <c r="B502"/>
      <c r="C502" s="13"/>
      <c r="D502"/>
      <c r="E502"/>
    </row>
    <row r="503" spans="1:5" x14ac:dyDescent="0.25">
      <c r="A503"/>
      <c r="B503"/>
      <c r="C503" s="13"/>
      <c r="D503"/>
      <c r="E503"/>
    </row>
    <row r="504" spans="1:5" x14ac:dyDescent="0.25">
      <c r="A504"/>
      <c r="B504"/>
      <c r="C504" s="13"/>
      <c r="D504"/>
      <c r="E504"/>
    </row>
    <row r="505" spans="1:5" x14ac:dyDescent="0.25">
      <c r="A505"/>
      <c r="B505"/>
      <c r="C505" s="13"/>
      <c r="D505"/>
      <c r="E505"/>
    </row>
    <row r="506" spans="1:5" x14ac:dyDescent="0.25">
      <c r="A506"/>
      <c r="B506"/>
      <c r="C506" s="13"/>
      <c r="D506"/>
      <c r="E506"/>
    </row>
    <row r="507" spans="1:5" x14ac:dyDescent="0.25">
      <c r="A507"/>
      <c r="B507"/>
      <c r="C507" s="13"/>
      <c r="D507"/>
      <c r="E507"/>
    </row>
    <row r="508" spans="1:5" x14ac:dyDescent="0.25">
      <c r="A508"/>
      <c r="B508"/>
      <c r="C508" s="13"/>
      <c r="D508"/>
      <c r="E508"/>
    </row>
  </sheetData>
  <mergeCells count="1">
    <mergeCell ref="A7:G7"/>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6:G507"/>
  <sheetViews>
    <sheetView showGridLines="0" zoomScale="90" zoomScaleNormal="90" workbookViewId="0">
      <pane ySplit="7" topLeftCell="A8" activePane="bottomLeft" state="frozen"/>
      <selection activeCell="M10" sqref="M10"/>
      <selection pane="bottomLeft" activeCell="M10" sqref="M10"/>
    </sheetView>
  </sheetViews>
  <sheetFormatPr baseColWidth="10" defaultColWidth="11.42578125" defaultRowHeight="15" x14ac:dyDescent="0.25"/>
  <cols>
    <col min="1" max="1" width="12.5703125" style="6" customWidth="1"/>
    <col min="2" max="2" width="15.5703125" style="6" customWidth="1"/>
    <col min="3" max="3" width="23.5703125" style="4" customWidth="1"/>
    <col min="4" max="4" width="14.140625" style="6" customWidth="1"/>
    <col min="5" max="5" width="17" style="6" bestFit="1" customWidth="1"/>
    <col min="6" max="6" width="28.85546875" style="6" bestFit="1" customWidth="1"/>
    <col min="7" max="7" width="42.5703125" style="6" bestFit="1" customWidth="1"/>
    <col min="8" max="8" width="43" style="6" bestFit="1" customWidth="1"/>
    <col min="9" max="9" width="22.42578125" style="6" bestFit="1" customWidth="1"/>
    <col min="10" max="16384" width="11.42578125" style="6"/>
  </cols>
  <sheetData>
    <row r="6" spans="1:7" ht="20.25" customHeight="1" x14ac:dyDescent="0.25">
      <c r="A6" s="104" t="s">
        <v>366</v>
      </c>
      <c r="B6" s="104"/>
      <c r="C6" s="104"/>
      <c r="D6" s="104"/>
      <c r="E6" s="104"/>
      <c r="F6" s="104"/>
      <c r="G6" s="104"/>
    </row>
    <row r="7" spans="1:7" ht="30" x14ac:dyDescent="0.25">
      <c r="A7" s="8" t="s">
        <v>4</v>
      </c>
      <c r="B7" s="8" t="s">
        <v>5</v>
      </c>
      <c r="C7" s="8" t="s">
        <v>6</v>
      </c>
      <c r="D7" s="8" t="s">
        <v>7</v>
      </c>
      <c r="E7" s="8" t="s">
        <v>8</v>
      </c>
      <c r="F7" s="3" t="s">
        <v>367</v>
      </c>
    </row>
    <row r="8" spans="1:7" x14ac:dyDescent="0.25">
      <c r="A8" s="3" t="s">
        <v>365</v>
      </c>
      <c r="B8" s="3" t="s">
        <v>365</v>
      </c>
      <c r="C8" s="3" t="s">
        <v>365</v>
      </c>
      <c r="D8" s="3" t="s">
        <v>365</v>
      </c>
      <c r="E8" s="3" t="s">
        <v>365</v>
      </c>
      <c r="F8" s="9"/>
    </row>
    <row r="9" spans="1:7" x14ac:dyDescent="0.25">
      <c r="A9" s="3"/>
      <c r="B9" s="3"/>
      <c r="C9" s="3"/>
      <c r="D9" s="3" t="s">
        <v>368</v>
      </c>
      <c r="E9" s="3"/>
      <c r="F9" s="9"/>
    </row>
    <row r="10" spans="1:7" x14ac:dyDescent="0.25">
      <c r="A10" s="3"/>
      <c r="B10" s="3"/>
      <c r="C10" s="3" t="s">
        <v>368</v>
      </c>
      <c r="D10" s="3"/>
      <c r="E10" s="3"/>
      <c r="F10" s="9"/>
    </row>
    <row r="11" spans="1:7" x14ac:dyDescent="0.25">
      <c r="A11" s="3"/>
      <c r="B11" s="3" t="s">
        <v>368</v>
      </c>
      <c r="C11" s="3"/>
      <c r="D11" s="3"/>
      <c r="E11" s="3"/>
      <c r="F11" s="9"/>
    </row>
    <row r="12" spans="1:7" x14ac:dyDescent="0.25">
      <c r="A12" s="3" t="s">
        <v>368</v>
      </c>
      <c r="B12" s="3"/>
      <c r="C12" s="3"/>
      <c r="D12" s="3"/>
      <c r="E12" s="3"/>
      <c r="F12" s="9"/>
    </row>
    <row r="13" spans="1:7" x14ac:dyDescent="0.25">
      <c r="A13" s="3" t="s">
        <v>361</v>
      </c>
      <c r="B13" s="3"/>
      <c r="C13" s="3"/>
      <c r="D13" s="3"/>
      <c r="E13" s="3"/>
      <c r="F13" s="9"/>
    </row>
    <row r="14" spans="1:7" x14ac:dyDescent="0.25">
      <c r="A14"/>
      <c r="B14"/>
      <c r="C14"/>
      <c r="D14"/>
      <c r="E14"/>
      <c r="F14"/>
    </row>
    <row r="15" spans="1:7" x14ac:dyDescent="0.25">
      <c r="A15"/>
      <c r="B15"/>
      <c r="C15"/>
      <c r="D15"/>
      <c r="E15"/>
      <c r="F15"/>
    </row>
    <row r="16" spans="1:7" x14ac:dyDescent="0.25">
      <c r="A16"/>
      <c r="B16"/>
      <c r="C16"/>
      <c r="D16"/>
      <c r="E16"/>
      <c r="F16"/>
    </row>
    <row r="17" spans="1:6" x14ac:dyDescent="0.25">
      <c r="A17"/>
      <c r="B17"/>
      <c r="C17"/>
      <c r="D17"/>
      <c r="E17"/>
      <c r="F17"/>
    </row>
    <row r="18" spans="1:6" x14ac:dyDescent="0.25">
      <c r="A18"/>
      <c r="B18"/>
      <c r="C18"/>
      <c r="D18"/>
      <c r="E18"/>
      <c r="F18"/>
    </row>
    <row r="19" spans="1:6" x14ac:dyDescent="0.25">
      <c r="A19"/>
      <c r="B19"/>
      <c r="C19"/>
      <c r="D19"/>
      <c r="E19"/>
      <c r="F19"/>
    </row>
    <row r="20" spans="1:6" x14ac:dyDescent="0.25">
      <c r="A20"/>
      <c r="B20"/>
      <c r="C20"/>
      <c r="D20"/>
      <c r="E20"/>
      <c r="F20"/>
    </row>
    <row r="21" spans="1:6" x14ac:dyDescent="0.25">
      <c r="A21"/>
      <c r="B21"/>
      <c r="C21"/>
      <c r="D21"/>
      <c r="E21"/>
      <c r="F21"/>
    </row>
    <row r="22" spans="1:6" x14ac:dyDescent="0.25">
      <c r="A22"/>
      <c r="B22"/>
      <c r="C22"/>
      <c r="D22"/>
      <c r="E22"/>
      <c r="F22"/>
    </row>
    <row r="23" spans="1:6" x14ac:dyDescent="0.25">
      <c r="A23"/>
      <c r="B23"/>
      <c r="C23"/>
      <c r="D23"/>
      <c r="E23"/>
      <c r="F23"/>
    </row>
    <row r="24" spans="1:6" x14ac:dyDescent="0.25">
      <c r="A24"/>
      <c r="B24"/>
      <c r="C24"/>
      <c r="D24"/>
      <c r="E24"/>
      <c r="F24"/>
    </row>
    <row r="25" spans="1:6" x14ac:dyDescent="0.25">
      <c r="A25"/>
      <c r="B25"/>
      <c r="C25"/>
      <c r="D25"/>
      <c r="E25"/>
      <c r="F25"/>
    </row>
    <row r="26" spans="1:6" x14ac:dyDescent="0.25">
      <c r="A26"/>
      <c r="B26"/>
      <c r="C26"/>
      <c r="D26"/>
      <c r="E26"/>
      <c r="F26"/>
    </row>
    <row r="27" spans="1:6" x14ac:dyDescent="0.25">
      <c r="A27"/>
      <c r="B27"/>
      <c r="C27"/>
      <c r="D27"/>
      <c r="E27"/>
      <c r="F27"/>
    </row>
    <row r="28" spans="1:6" x14ac:dyDescent="0.25">
      <c r="A28"/>
      <c r="B28"/>
      <c r="C28"/>
      <c r="D28"/>
      <c r="E28"/>
      <c r="F28"/>
    </row>
    <row r="29" spans="1:6" x14ac:dyDescent="0.25">
      <c r="A29"/>
      <c r="B29"/>
      <c r="C29"/>
      <c r="D29"/>
      <c r="E29"/>
      <c r="F29"/>
    </row>
    <row r="30" spans="1:6" x14ac:dyDescent="0.25">
      <c r="A30"/>
      <c r="B30"/>
      <c r="C30"/>
      <c r="D30"/>
      <c r="E30"/>
      <c r="F30"/>
    </row>
    <row r="31" spans="1:6" x14ac:dyDescent="0.25">
      <c r="A31"/>
      <c r="B31"/>
      <c r="C31"/>
      <c r="D31"/>
      <c r="E31"/>
      <c r="F31"/>
    </row>
    <row r="32" spans="1:6" x14ac:dyDescent="0.25">
      <c r="A32"/>
      <c r="B32"/>
      <c r="C32"/>
      <c r="D32"/>
      <c r="E32"/>
      <c r="F32"/>
    </row>
    <row r="33" spans="1:6" x14ac:dyDescent="0.25">
      <c r="A33"/>
      <c r="B33"/>
      <c r="C33"/>
      <c r="D33"/>
      <c r="E33"/>
      <c r="F33"/>
    </row>
    <row r="34" spans="1:6" x14ac:dyDescent="0.25">
      <c r="A34"/>
      <c r="B34"/>
      <c r="C34"/>
      <c r="D34"/>
      <c r="E34"/>
      <c r="F34"/>
    </row>
    <row r="35" spans="1:6" x14ac:dyDescent="0.25">
      <c r="A35"/>
      <c r="B35"/>
      <c r="C35"/>
      <c r="D35"/>
      <c r="E35"/>
      <c r="F35"/>
    </row>
    <row r="36" spans="1:6" x14ac:dyDescent="0.25">
      <c r="A36"/>
      <c r="B36"/>
      <c r="C36"/>
      <c r="D36"/>
      <c r="E36"/>
      <c r="F36"/>
    </row>
    <row r="37" spans="1:6" x14ac:dyDescent="0.25">
      <c r="A37"/>
      <c r="B37"/>
      <c r="C37"/>
      <c r="D37"/>
      <c r="E37"/>
      <c r="F37"/>
    </row>
    <row r="38" spans="1:6" x14ac:dyDescent="0.25">
      <c r="A38"/>
      <c r="B38"/>
      <c r="C38"/>
      <c r="D38"/>
      <c r="E38"/>
      <c r="F38"/>
    </row>
    <row r="39" spans="1:6" x14ac:dyDescent="0.25">
      <c r="A39"/>
      <c r="B39"/>
      <c r="C39"/>
      <c r="D39"/>
      <c r="E39"/>
      <c r="F39"/>
    </row>
    <row r="40" spans="1:6" x14ac:dyDescent="0.25">
      <c r="A40"/>
      <c r="B40"/>
      <c r="C40"/>
      <c r="D40"/>
      <c r="E40"/>
      <c r="F40"/>
    </row>
    <row r="41" spans="1:6" x14ac:dyDescent="0.25">
      <c r="A41"/>
      <c r="B41"/>
      <c r="C41"/>
      <c r="D41"/>
      <c r="E41"/>
      <c r="F41"/>
    </row>
    <row r="42" spans="1:6" x14ac:dyDescent="0.25">
      <c r="A42"/>
      <c r="B42"/>
      <c r="C42"/>
      <c r="D42"/>
      <c r="E42"/>
      <c r="F42"/>
    </row>
    <row r="43" spans="1:6" x14ac:dyDescent="0.25">
      <c r="A43"/>
      <c r="B43"/>
      <c r="C43"/>
      <c r="D43"/>
      <c r="E43"/>
      <c r="F43"/>
    </row>
    <row r="44" spans="1:6" x14ac:dyDescent="0.25">
      <c r="A44"/>
      <c r="B44"/>
      <c r="C44"/>
      <c r="D44"/>
      <c r="E44"/>
      <c r="F44"/>
    </row>
    <row r="45" spans="1:6" x14ac:dyDescent="0.25">
      <c r="A45"/>
      <c r="B45"/>
      <c r="C45"/>
      <c r="D45"/>
      <c r="E45"/>
      <c r="F45"/>
    </row>
    <row r="46" spans="1:6" x14ac:dyDescent="0.25">
      <c r="A46"/>
      <c r="B46"/>
      <c r="C46"/>
      <c r="D46"/>
      <c r="E46"/>
      <c r="F46"/>
    </row>
    <row r="47" spans="1:6" x14ac:dyDescent="0.25">
      <c r="A47"/>
      <c r="B47"/>
      <c r="C47"/>
      <c r="D47"/>
      <c r="E47"/>
      <c r="F47"/>
    </row>
    <row r="48" spans="1:6" x14ac:dyDescent="0.25">
      <c r="A48"/>
      <c r="B48"/>
      <c r="C48"/>
      <c r="D48"/>
      <c r="E48"/>
    </row>
    <row r="49" spans="1:5" x14ac:dyDescent="0.25">
      <c r="A49"/>
      <c r="B49"/>
      <c r="C49"/>
      <c r="D49"/>
      <c r="E49"/>
    </row>
    <row r="50" spans="1:5" x14ac:dyDescent="0.25">
      <c r="A50"/>
      <c r="B50"/>
      <c r="C50"/>
      <c r="D50"/>
      <c r="E50"/>
    </row>
    <row r="51" spans="1:5" x14ac:dyDescent="0.25">
      <c r="A51"/>
      <c r="B51"/>
      <c r="C51"/>
      <c r="D51"/>
      <c r="E51"/>
    </row>
    <row r="52" spans="1:5" x14ac:dyDescent="0.25">
      <c r="A52"/>
      <c r="B52"/>
      <c r="C52"/>
      <c r="D52"/>
      <c r="E52"/>
    </row>
    <row r="53" spans="1:5" x14ac:dyDescent="0.25">
      <c r="A53"/>
      <c r="B53"/>
      <c r="C53"/>
      <c r="D53"/>
      <c r="E53"/>
    </row>
    <row r="54" spans="1:5" x14ac:dyDescent="0.25">
      <c r="A54"/>
      <c r="B54"/>
      <c r="C54"/>
      <c r="D54"/>
      <c r="E54"/>
    </row>
    <row r="55" spans="1:5" x14ac:dyDescent="0.25">
      <c r="A55"/>
      <c r="B55"/>
      <c r="C55"/>
      <c r="D55"/>
      <c r="E55"/>
    </row>
    <row r="56" spans="1:5" x14ac:dyDescent="0.25">
      <c r="A56"/>
      <c r="B56"/>
      <c r="C56"/>
      <c r="D56"/>
      <c r="E56"/>
    </row>
    <row r="57" spans="1:5" x14ac:dyDescent="0.25">
      <c r="A57"/>
      <c r="B57"/>
      <c r="C57"/>
      <c r="D57"/>
      <c r="E57"/>
    </row>
    <row r="58" spans="1:5" x14ac:dyDescent="0.25">
      <c r="A58"/>
      <c r="B58"/>
      <c r="C58"/>
      <c r="D58"/>
      <c r="E58"/>
    </row>
    <row r="59" spans="1:5" x14ac:dyDescent="0.25">
      <c r="A59"/>
      <c r="B59"/>
      <c r="C59"/>
      <c r="D59"/>
      <c r="E59"/>
    </row>
    <row r="60" spans="1:5" x14ac:dyDescent="0.25">
      <c r="A60"/>
      <c r="B60"/>
      <c r="C60"/>
      <c r="D60"/>
      <c r="E60"/>
    </row>
    <row r="61" spans="1:5" x14ac:dyDescent="0.25">
      <c r="A61"/>
      <c r="B61"/>
      <c r="C61"/>
      <c r="D61"/>
      <c r="E61"/>
    </row>
    <row r="62" spans="1:5" x14ac:dyDescent="0.25">
      <c r="A62"/>
      <c r="B62"/>
      <c r="C62"/>
      <c r="D62"/>
      <c r="E62"/>
    </row>
    <row r="63" spans="1:5" x14ac:dyDescent="0.25">
      <c r="A63"/>
      <c r="B63"/>
      <c r="C63"/>
      <c r="D63"/>
      <c r="E63"/>
    </row>
    <row r="64" spans="1:5" x14ac:dyDescent="0.25">
      <c r="A64"/>
      <c r="B64"/>
      <c r="C64"/>
      <c r="D64"/>
      <c r="E64"/>
    </row>
    <row r="65" spans="1:5" x14ac:dyDescent="0.25">
      <c r="A65"/>
      <c r="B65"/>
      <c r="C65"/>
      <c r="D65"/>
      <c r="E65"/>
    </row>
    <row r="66" spans="1:5" x14ac:dyDescent="0.25">
      <c r="A66"/>
      <c r="B66"/>
      <c r="C66"/>
      <c r="D66"/>
      <c r="E66"/>
    </row>
    <row r="67" spans="1:5" x14ac:dyDescent="0.25">
      <c r="A67"/>
      <c r="B67"/>
      <c r="C67"/>
      <c r="D67"/>
      <c r="E67"/>
    </row>
    <row r="68" spans="1:5" x14ac:dyDescent="0.25">
      <c r="A68"/>
      <c r="B68"/>
      <c r="C68"/>
      <c r="D68"/>
      <c r="E68"/>
    </row>
    <row r="69" spans="1:5" x14ac:dyDescent="0.25">
      <c r="A69"/>
      <c r="B69"/>
      <c r="C69"/>
      <c r="D69"/>
      <c r="E69"/>
    </row>
    <row r="70" spans="1:5" x14ac:dyDescent="0.25">
      <c r="A70"/>
      <c r="B70"/>
      <c r="C70"/>
      <c r="D70"/>
      <c r="E70"/>
    </row>
    <row r="71" spans="1:5" x14ac:dyDescent="0.25">
      <c r="A71"/>
      <c r="B71"/>
      <c r="C71"/>
      <c r="D71"/>
      <c r="E71"/>
    </row>
    <row r="72" spans="1:5" x14ac:dyDescent="0.25">
      <c r="A72"/>
      <c r="B72"/>
      <c r="C72"/>
      <c r="D72"/>
      <c r="E72"/>
    </row>
    <row r="73" spans="1:5" x14ac:dyDescent="0.25">
      <c r="A73"/>
      <c r="B73"/>
      <c r="C73"/>
      <c r="D73"/>
      <c r="E73"/>
    </row>
    <row r="74" spans="1:5" x14ac:dyDescent="0.25">
      <c r="A74"/>
      <c r="B74"/>
      <c r="C74"/>
      <c r="D74"/>
      <c r="E74"/>
    </row>
    <row r="75" spans="1:5" x14ac:dyDescent="0.25">
      <c r="A75"/>
      <c r="B75"/>
      <c r="C75"/>
      <c r="D75"/>
      <c r="E75"/>
    </row>
    <row r="76" spans="1:5" x14ac:dyDescent="0.25">
      <c r="A76"/>
      <c r="B76"/>
      <c r="C76"/>
      <c r="D76"/>
      <c r="E76"/>
    </row>
    <row r="77" spans="1:5" x14ac:dyDescent="0.25">
      <c r="A77"/>
      <c r="B77"/>
      <c r="C77"/>
      <c r="D77"/>
      <c r="E77"/>
    </row>
    <row r="78" spans="1:5" x14ac:dyDescent="0.25">
      <c r="A78"/>
      <c r="B78"/>
      <c r="C78"/>
      <c r="D78"/>
      <c r="E78"/>
    </row>
    <row r="79" spans="1:5" x14ac:dyDescent="0.25">
      <c r="A79"/>
      <c r="B79"/>
      <c r="C79"/>
      <c r="D79"/>
      <c r="E79"/>
    </row>
    <row r="80" spans="1:5" x14ac:dyDescent="0.25">
      <c r="A80"/>
      <c r="B80"/>
      <c r="C80"/>
      <c r="D80"/>
      <c r="E80"/>
    </row>
    <row r="81" spans="1:5" x14ac:dyDescent="0.25">
      <c r="A81"/>
      <c r="B81"/>
      <c r="C81"/>
      <c r="D81"/>
      <c r="E81"/>
    </row>
    <row r="82" spans="1:5" x14ac:dyDescent="0.25">
      <c r="A82"/>
      <c r="B82"/>
      <c r="C82"/>
      <c r="D82"/>
      <c r="E82"/>
    </row>
    <row r="83" spans="1:5" x14ac:dyDescent="0.25">
      <c r="A83"/>
      <c r="B83"/>
      <c r="C83"/>
      <c r="D83"/>
      <c r="E83"/>
    </row>
    <row r="84" spans="1:5" x14ac:dyDescent="0.25">
      <c r="A84"/>
      <c r="B84"/>
      <c r="C84"/>
      <c r="D84"/>
      <c r="E84"/>
    </row>
    <row r="85" spans="1:5" x14ac:dyDescent="0.25">
      <c r="A85"/>
      <c r="B85"/>
      <c r="C85"/>
      <c r="D85"/>
      <c r="E85"/>
    </row>
    <row r="86" spans="1:5" x14ac:dyDescent="0.25">
      <c r="A86"/>
      <c r="B86"/>
      <c r="C86"/>
      <c r="D86"/>
      <c r="E86"/>
    </row>
    <row r="87" spans="1:5" x14ac:dyDescent="0.25">
      <c r="A87"/>
      <c r="B87"/>
      <c r="C87"/>
      <c r="D87"/>
      <c r="E87"/>
    </row>
    <row r="88" spans="1:5" x14ac:dyDescent="0.25">
      <c r="A88"/>
      <c r="B88"/>
      <c r="C88"/>
      <c r="D88"/>
      <c r="E88"/>
    </row>
    <row r="89" spans="1:5" x14ac:dyDescent="0.25">
      <c r="A89"/>
      <c r="B89"/>
      <c r="C89"/>
      <c r="D89"/>
      <c r="E89"/>
    </row>
    <row r="90" spans="1:5" x14ac:dyDescent="0.25">
      <c r="A90"/>
      <c r="B90"/>
      <c r="C90"/>
      <c r="D90"/>
      <c r="E90"/>
    </row>
    <row r="91" spans="1:5" x14ac:dyDescent="0.25">
      <c r="A91"/>
      <c r="B91"/>
      <c r="C91"/>
      <c r="D91"/>
      <c r="E91"/>
    </row>
    <row r="92" spans="1:5" x14ac:dyDescent="0.25">
      <c r="A92"/>
      <c r="B92"/>
      <c r="C92"/>
      <c r="D92"/>
      <c r="E92"/>
    </row>
    <row r="93" spans="1:5" x14ac:dyDescent="0.25">
      <c r="A93"/>
      <c r="B93"/>
      <c r="C93"/>
      <c r="D93"/>
      <c r="E93"/>
    </row>
    <row r="94" spans="1:5" x14ac:dyDescent="0.25">
      <c r="A94"/>
      <c r="B94"/>
      <c r="C94"/>
      <c r="D94"/>
      <c r="E94"/>
    </row>
    <row r="95" spans="1:5" x14ac:dyDescent="0.25">
      <c r="A95"/>
      <c r="B95"/>
      <c r="C95"/>
      <c r="D95"/>
      <c r="E95"/>
    </row>
    <row r="96" spans="1:5" x14ac:dyDescent="0.25">
      <c r="A96"/>
      <c r="B96"/>
      <c r="C96"/>
      <c r="D96"/>
      <c r="E96"/>
    </row>
    <row r="97" spans="1:5" x14ac:dyDescent="0.25">
      <c r="A97"/>
      <c r="B97"/>
      <c r="C97"/>
      <c r="D97"/>
      <c r="E97"/>
    </row>
    <row r="98" spans="1:5" x14ac:dyDescent="0.25">
      <c r="A98"/>
      <c r="B98"/>
      <c r="C98"/>
      <c r="D98"/>
      <c r="E98"/>
    </row>
    <row r="99" spans="1:5" x14ac:dyDescent="0.25">
      <c r="A99"/>
      <c r="B99"/>
      <c r="C99"/>
      <c r="D99"/>
      <c r="E99"/>
    </row>
    <row r="100" spans="1:5" x14ac:dyDescent="0.25">
      <c r="A100"/>
      <c r="B100"/>
      <c r="C100"/>
      <c r="D100"/>
      <c r="E100"/>
    </row>
    <row r="101" spans="1:5" x14ac:dyDescent="0.25">
      <c r="A101"/>
      <c r="B101"/>
      <c r="C101"/>
      <c r="D101"/>
      <c r="E101"/>
    </row>
    <row r="102" spans="1:5" x14ac:dyDescent="0.25">
      <c r="A102"/>
      <c r="B102"/>
      <c r="C102"/>
      <c r="D102"/>
      <c r="E102"/>
    </row>
    <row r="103" spans="1:5" x14ac:dyDescent="0.25">
      <c r="A103"/>
      <c r="B103"/>
      <c r="C103"/>
      <c r="D103"/>
      <c r="E103"/>
    </row>
    <row r="104" spans="1:5" x14ac:dyDescent="0.25">
      <c r="A104"/>
      <c r="B104"/>
      <c r="C104"/>
      <c r="D104"/>
      <c r="E104"/>
    </row>
    <row r="105" spans="1:5" x14ac:dyDescent="0.25">
      <c r="A105"/>
      <c r="B105"/>
      <c r="C105"/>
      <c r="D105"/>
      <c r="E105"/>
    </row>
    <row r="106" spans="1:5" x14ac:dyDescent="0.25">
      <c r="A106"/>
      <c r="B106"/>
      <c r="C106"/>
      <c r="D106"/>
      <c r="E106"/>
    </row>
    <row r="107" spans="1:5" x14ac:dyDescent="0.25">
      <c r="A107"/>
      <c r="B107"/>
      <c r="C107"/>
      <c r="D107"/>
      <c r="E107"/>
    </row>
    <row r="108" spans="1:5" x14ac:dyDescent="0.25">
      <c r="A108"/>
      <c r="B108"/>
      <c r="C108"/>
      <c r="D108"/>
      <c r="E108"/>
    </row>
    <row r="109" spans="1:5" x14ac:dyDescent="0.25">
      <c r="A109"/>
      <c r="B109"/>
      <c r="C109"/>
      <c r="D109"/>
      <c r="E109"/>
    </row>
    <row r="110" spans="1:5" x14ac:dyDescent="0.25">
      <c r="A110"/>
      <c r="B110"/>
      <c r="C110"/>
      <c r="D110"/>
      <c r="E110"/>
    </row>
    <row r="111" spans="1:5" x14ac:dyDescent="0.25">
      <c r="A111"/>
      <c r="B111"/>
      <c r="C111"/>
      <c r="D111"/>
      <c r="E111"/>
    </row>
    <row r="112" spans="1:5" x14ac:dyDescent="0.25">
      <c r="A112"/>
      <c r="B112"/>
      <c r="C112"/>
      <c r="D112"/>
      <c r="E112"/>
    </row>
    <row r="113" spans="1:5" x14ac:dyDescent="0.25">
      <c r="A113"/>
      <c r="B113"/>
      <c r="C113"/>
      <c r="D113"/>
      <c r="E113"/>
    </row>
    <row r="114" spans="1:5" x14ac:dyDescent="0.25">
      <c r="A114"/>
      <c r="B114"/>
      <c r="C114"/>
      <c r="D114"/>
      <c r="E114"/>
    </row>
    <row r="115" spans="1:5" x14ac:dyDescent="0.25">
      <c r="A115"/>
      <c r="B115"/>
      <c r="C115"/>
      <c r="D115"/>
      <c r="E115"/>
    </row>
    <row r="116" spans="1:5" x14ac:dyDescent="0.25">
      <c r="A116"/>
      <c r="B116"/>
      <c r="C116"/>
      <c r="D116"/>
      <c r="E116"/>
    </row>
    <row r="117" spans="1:5" x14ac:dyDescent="0.25">
      <c r="A117"/>
      <c r="B117"/>
      <c r="C117"/>
      <c r="D117"/>
      <c r="E117"/>
    </row>
    <row r="118" spans="1:5" x14ac:dyDescent="0.25">
      <c r="A118"/>
      <c r="B118"/>
      <c r="C118"/>
      <c r="D118"/>
      <c r="E118"/>
    </row>
    <row r="119" spans="1:5" x14ac:dyDescent="0.25">
      <c r="A119"/>
      <c r="B119"/>
      <c r="C119"/>
      <c r="D119"/>
      <c r="E119"/>
    </row>
    <row r="120" spans="1:5" x14ac:dyDescent="0.25">
      <c r="A120"/>
      <c r="B120"/>
      <c r="C120"/>
      <c r="D120"/>
      <c r="E120"/>
    </row>
    <row r="121" spans="1:5" x14ac:dyDescent="0.25">
      <c r="A121"/>
      <c r="B121"/>
      <c r="C121"/>
      <c r="D121"/>
      <c r="E121"/>
    </row>
    <row r="122" spans="1:5" x14ac:dyDescent="0.25">
      <c r="A122"/>
      <c r="B122"/>
      <c r="C122"/>
      <c r="D122"/>
      <c r="E122"/>
    </row>
    <row r="123" spans="1:5" x14ac:dyDescent="0.25">
      <c r="A123"/>
      <c r="B123"/>
      <c r="C123"/>
      <c r="D123"/>
      <c r="E123"/>
    </row>
    <row r="124" spans="1:5" x14ac:dyDescent="0.25">
      <c r="A124"/>
      <c r="B124"/>
      <c r="C124"/>
      <c r="D124"/>
      <c r="E124"/>
    </row>
    <row r="125" spans="1:5" x14ac:dyDescent="0.25">
      <c r="A125"/>
      <c r="B125"/>
      <c r="C125"/>
      <c r="D125"/>
      <c r="E125"/>
    </row>
    <row r="126" spans="1:5" x14ac:dyDescent="0.25">
      <c r="A126"/>
      <c r="B126"/>
      <c r="C126"/>
      <c r="D126"/>
      <c r="E126"/>
    </row>
    <row r="127" spans="1:5" x14ac:dyDescent="0.25">
      <c r="A127"/>
      <c r="B127"/>
      <c r="C127"/>
      <c r="D127"/>
      <c r="E127"/>
    </row>
    <row r="128" spans="1:5" x14ac:dyDescent="0.25">
      <c r="A128"/>
      <c r="B128"/>
      <c r="C128"/>
      <c r="D128"/>
      <c r="E128"/>
    </row>
    <row r="129" spans="1:5" x14ac:dyDescent="0.25">
      <c r="A129"/>
      <c r="B129"/>
      <c r="C129"/>
      <c r="D129"/>
      <c r="E129"/>
    </row>
    <row r="130" spans="1:5" x14ac:dyDescent="0.25">
      <c r="A130"/>
      <c r="B130"/>
      <c r="C130"/>
      <c r="D130"/>
      <c r="E130"/>
    </row>
    <row r="131" spans="1:5" x14ac:dyDescent="0.25">
      <c r="A131"/>
      <c r="B131"/>
      <c r="C131"/>
      <c r="D131"/>
      <c r="E131"/>
    </row>
    <row r="132" spans="1:5" x14ac:dyDescent="0.25">
      <c r="A132"/>
      <c r="B132"/>
      <c r="C132"/>
      <c r="D132"/>
      <c r="E132"/>
    </row>
    <row r="133" spans="1:5" x14ac:dyDescent="0.25">
      <c r="A133"/>
      <c r="B133"/>
      <c r="C133"/>
      <c r="D133"/>
      <c r="E133"/>
    </row>
    <row r="134" spans="1:5" x14ac:dyDescent="0.25">
      <c r="A134"/>
      <c r="B134"/>
      <c r="C134"/>
      <c r="D134"/>
      <c r="E134"/>
    </row>
    <row r="135" spans="1:5" x14ac:dyDescent="0.25">
      <c r="A135"/>
      <c r="B135"/>
      <c r="C135"/>
      <c r="D135"/>
      <c r="E135"/>
    </row>
    <row r="136" spans="1:5" x14ac:dyDescent="0.25">
      <c r="A136"/>
      <c r="B136"/>
      <c r="C136"/>
      <c r="D136"/>
      <c r="E136"/>
    </row>
    <row r="137" spans="1:5" x14ac:dyDescent="0.25">
      <c r="A137"/>
      <c r="B137"/>
      <c r="C137"/>
      <c r="D137"/>
      <c r="E137"/>
    </row>
    <row r="138" spans="1:5" x14ac:dyDescent="0.25">
      <c r="A138"/>
      <c r="B138"/>
      <c r="C138"/>
      <c r="D138"/>
      <c r="E138"/>
    </row>
    <row r="139" spans="1:5" x14ac:dyDescent="0.25">
      <c r="A139"/>
      <c r="B139"/>
      <c r="C139"/>
      <c r="D139"/>
      <c r="E139"/>
    </row>
    <row r="140" spans="1:5" x14ac:dyDescent="0.25">
      <c r="A140"/>
      <c r="B140"/>
      <c r="C140"/>
      <c r="D140"/>
      <c r="E140"/>
    </row>
    <row r="141" spans="1:5" x14ac:dyDescent="0.25">
      <c r="A141"/>
      <c r="B141"/>
      <c r="C141"/>
      <c r="D141"/>
      <c r="E141"/>
    </row>
    <row r="142" spans="1:5" x14ac:dyDescent="0.25">
      <c r="A142"/>
      <c r="B142"/>
      <c r="C142"/>
      <c r="D142"/>
      <c r="E142"/>
    </row>
    <row r="143" spans="1:5" x14ac:dyDescent="0.25">
      <c r="A143"/>
      <c r="B143"/>
      <c r="C143"/>
      <c r="D143"/>
      <c r="E143"/>
    </row>
    <row r="144" spans="1:5" x14ac:dyDescent="0.25">
      <c r="A144"/>
      <c r="B144"/>
      <c r="C144"/>
      <c r="D144"/>
      <c r="E144"/>
    </row>
    <row r="145" spans="1:5" x14ac:dyDescent="0.25">
      <c r="A145"/>
      <c r="B145"/>
      <c r="C145"/>
      <c r="D145"/>
      <c r="E145"/>
    </row>
    <row r="146" spans="1:5" x14ac:dyDescent="0.25">
      <c r="A146"/>
      <c r="B146"/>
      <c r="C146"/>
      <c r="D146"/>
      <c r="E146"/>
    </row>
    <row r="147" spans="1:5" x14ac:dyDescent="0.25">
      <c r="A147"/>
      <c r="B147"/>
      <c r="C147"/>
      <c r="D147"/>
      <c r="E147"/>
    </row>
    <row r="148" spans="1:5" x14ac:dyDescent="0.25">
      <c r="A148"/>
      <c r="B148"/>
      <c r="C148"/>
      <c r="D148"/>
      <c r="E148"/>
    </row>
    <row r="149" spans="1:5" x14ac:dyDescent="0.25">
      <c r="A149"/>
      <c r="B149"/>
      <c r="C149"/>
      <c r="D149"/>
      <c r="E149"/>
    </row>
    <row r="150" spans="1:5" x14ac:dyDescent="0.25">
      <c r="A150"/>
      <c r="B150"/>
      <c r="C150"/>
      <c r="D150"/>
      <c r="E150"/>
    </row>
    <row r="151" spans="1:5" x14ac:dyDescent="0.25">
      <c r="A151"/>
      <c r="B151"/>
      <c r="C151"/>
      <c r="D151"/>
      <c r="E151"/>
    </row>
    <row r="152" spans="1:5" x14ac:dyDescent="0.25">
      <c r="A152"/>
      <c r="B152"/>
      <c r="C152"/>
      <c r="D152"/>
      <c r="E152"/>
    </row>
    <row r="153" spans="1:5" x14ac:dyDescent="0.25">
      <c r="A153"/>
      <c r="B153"/>
      <c r="C153"/>
      <c r="D153"/>
      <c r="E153"/>
    </row>
    <row r="154" spans="1:5" x14ac:dyDescent="0.25">
      <c r="A154"/>
      <c r="B154"/>
      <c r="C154"/>
      <c r="D154"/>
      <c r="E154"/>
    </row>
    <row r="155" spans="1:5" x14ac:dyDescent="0.25">
      <c r="A155"/>
      <c r="B155"/>
      <c r="C155"/>
      <c r="D155"/>
      <c r="E155"/>
    </row>
    <row r="156" spans="1:5" x14ac:dyDescent="0.25">
      <c r="A156"/>
      <c r="B156"/>
      <c r="C156"/>
      <c r="D156"/>
      <c r="E156"/>
    </row>
    <row r="157" spans="1:5" x14ac:dyDescent="0.25">
      <c r="A157"/>
      <c r="B157"/>
      <c r="C157"/>
      <c r="D157"/>
      <c r="E157"/>
    </row>
    <row r="158" spans="1:5" x14ac:dyDescent="0.25">
      <c r="A158"/>
      <c r="B158"/>
      <c r="C158"/>
      <c r="D158"/>
      <c r="E158"/>
    </row>
    <row r="159" spans="1:5" x14ac:dyDescent="0.25">
      <c r="A159"/>
      <c r="B159"/>
      <c r="C159"/>
      <c r="D159"/>
      <c r="E159"/>
    </row>
    <row r="160" spans="1:5" x14ac:dyDescent="0.25">
      <c r="A160"/>
      <c r="B160"/>
      <c r="C160"/>
      <c r="D160"/>
      <c r="E160"/>
    </row>
    <row r="161" spans="1:5" x14ac:dyDescent="0.25">
      <c r="A161"/>
      <c r="B161"/>
      <c r="C161"/>
      <c r="D161"/>
      <c r="E161"/>
    </row>
    <row r="162" spans="1:5" x14ac:dyDescent="0.25">
      <c r="A162"/>
      <c r="B162"/>
      <c r="C162"/>
      <c r="D162"/>
      <c r="E162"/>
    </row>
    <row r="163" spans="1:5" x14ac:dyDescent="0.25">
      <c r="A163"/>
      <c r="B163"/>
      <c r="C163"/>
      <c r="D163"/>
      <c r="E163"/>
    </row>
    <row r="164" spans="1:5" x14ac:dyDescent="0.25">
      <c r="A164"/>
      <c r="B164"/>
      <c r="C164"/>
      <c r="D164"/>
      <c r="E164"/>
    </row>
    <row r="165" spans="1:5" x14ac:dyDescent="0.25">
      <c r="A165"/>
      <c r="B165"/>
      <c r="C165"/>
      <c r="D165"/>
      <c r="E165"/>
    </row>
    <row r="166" spans="1:5" x14ac:dyDescent="0.25">
      <c r="A166"/>
      <c r="B166"/>
      <c r="C166"/>
      <c r="D166"/>
      <c r="E166"/>
    </row>
    <row r="167" spans="1:5" x14ac:dyDescent="0.25">
      <c r="A167"/>
      <c r="B167"/>
      <c r="C167"/>
      <c r="D167"/>
      <c r="E167"/>
    </row>
    <row r="168" spans="1:5" x14ac:dyDescent="0.25">
      <c r="A168"/>
      <c r="B168"/>
      <c r="C168"/>
      <c r="D168"/>
      <c r="E168"/>
    </row>
    <row r="169" spans="1:5" x14ac:dyDescent="0.25">
      <c r="A169"/>
      <c r="B169"/>
      <c r="C169"/>
      <c r="D169"/>
      <c r="E169"/>
    </row>
    <row r="170" spans="1:5" x14ac:dyDescent="0.25">
      <c r="A170"/>
      <c r="B170"/>
      <c r="C170"/>
      <c r="D170"/>
      <c r="E170"/>
    </row>
    <row r="171" spans="1:5" x14ac:dyDescent="0.25">
      <c r="A171"/>
      <c r="B171"/>
      <c r="C171"/>
      <c r="D171"/>
      <c r="E171"/>
    </row>
    <row r="172" spans="1:5" x14ac:dyDescent="0.25">
      <c r="A172"/>
      <c r="B172"/>
      <c r="C172"/>
      <c r="D172"/>
      <c r="E172"/>
    </row>
    <row r="173" spans="1:5" x14ac:dyDescent="0.25">
      <c r="A173"/>
      <c r="B173"/>
      <c r="C173"/>
      <c r="D173"/>
      <c r="E173"/>
    </row>
    <row r="174" spans="1:5" x14ac:dyDescent="0.25">
      <c r="A174"/>
      <c r="B174"/>
      <c r="C174"/>
      <c r="D174"/>
      <c r="E174"/>
    </row>
    <row r="175" spans="1:5" x14ac:dyDescent="0.25">
      <c r="A175"/>
      <c r="B175"/>
      <c r="C175"/>
      <c r="D175"/>
      <c r="E175"/>
    </row>
    <row r="176" spans="1:5" x14ac:dyDescent="0.25">
      <c r="A176"/>
      <c r="B176"/>
      <c r="C176"/>
      <c r="D176"/>
      <c r="E176"/>
    </row>
    <row r="177" spans="1:5" x14ac:dyDescent="0.25">
      <c r="A177"/>
      <c r="B177"/>
      <c r="C177"/>
      <c r="D177"/>
      <c r="E177"/>
    </row>
    <row r="178" spans="1:5" x14ac:dyDescent="0.25">
      <c r="A178"/>
      <c r="B178"/>
      <c r="C178"/>
      <c r="D178"/>
      <c r="E178"/>
    </row>
    <row r="179" spans="1:5" x14ac:dyDescent="0.25">
      <c r="A179"/>
      <c r="B179"/>
      <c r="C179"/>
      <c r="D179"/>
      <c r="E179"/>
    </row>
    <row r="180" spans="1:5" x14ac:dyDescent="0.25">
      <c r="A180"/>
      <c r="B180"/>
      <c r="C180"/>
      <c r="D180"/>
      <c r="E180"/>
    </row>
    <row r="181" spans="1:5" x14ac:dyDescent="0.25">
      <c r="A181"/>
      <c r="B181"/>
      <c r="C181"/>
      <c r="D181"/>
      <c r="E181"/>
    </row>
    <row r="182" spans="1:5" x14ac:dyDescent="0.25">
      <c r="A182"/>
      <c r="B182"/>
      <c r="C182"/>
      <c r="D182"/>
      <c r="E182"/>
    </row>
    <row r="183" spans="1:5" x14ac:dyDescent="0.25">
      <c r="A183"/>
      <c r="B183"/>
      <c r="C183"/>
      <c r="D183"/>
      <c r="E183"/>
    </row>
    <row r="184" spans="1:5" x14ac:dyDescent="0.25">
      <c r="A184"/>
      <c r="B184"/>
      <c r="C184"/>
      <c r="D184"/>
      <c r="E184"/>
    </row>
    <row r="185" spans="1:5" x14ac:dyDescent="0.25">
      <c r="A185"/>
      <c r="B185"/>
      <c r="C185"/>
      <c r="D185"/>
      <c r="E185"/>
    </row>
    <row r="186" spans="1:5" x14ac:dyDescent="0.25">
      <c r="A186"/>
      <c r="B186"/>
      <c r="C186"/>
      <c r="D186"/>
      <c r="E186"/>
    </row>
    <row r="187" spans="1:5" x14ac:dyDescent="0.25">
      <c r="A187"/>
      <c r="B187"/>
      <c r="C187"/>
      <c r="D187"/>
      <c r="E187"/>
    </row>
    <row r="188" spans="1:5" x14ac:dyDescent="0.25">
      <c r="A188"/>
      <c r="B188"/>
      <c r="C188"/>
      <c r="D188"/>
      <c r="E188"/>
    </row>
    <row r="189" spans="1:5" x14ac:dyDescent="0.25">
      <c r="A189"/>
      <c r="B189"/>
      <c r="C189"/>
      <c r="D189"/>
      <c r="E189"/>
    </row>
    <row r="190" spans="1:5" x14ac:dyDescent="0.25">
      <c r="A190"/>
      <c r="B190"/>
      <c r="C190"/>
      <c r="D190"/>
      <c r="E190"/>
    </row>
    <row r="191" spans="1:5" x14ac:dyDescent="0.25">
      <c r="A191"/>
      <c r="B191"/>
      <c r="C191"/>
      <c r="D191"/>
      <c r="E191"/>
    </row>
    <row r="192" spans="1:5" x14ac:dyDescent="0.25">
      <c r="A192"/>
      <c r="B192"/>
      <c r="C192"/>
      <c r="D192"/>
      <c r="E192"/>
    </row>
    <row r="193" spans="1:5" x14ac:dyDescent="0.25">
      <c r="A193"/>
      <c r="B193"/>
      <c r="C193"/>
      <c r="D193"/>
      <c r="E193"/>
    </row>
    <row r="194" spans="1:5" x14ac:dyDescent="0.25">
      <c r="A194"/>
      <c r="B194"/>
      <c r="C194"/>
      <c r="D194"/>
      <c r="E194"/>
    </row>
    <row r="195" spans="1:5" x14ac:dyDescent="0.25">
      <c r="A195"/>
      <c r="B195"/>
      <c r="C195"/>
      <c r="D195"/>
      <c r="E195"/>
    </row>
    <row r="196" spans="1:5" x14ac:dyDescent="0.25">
      <c r="A196"/>
      <c r="B196"/>
      <c r="C196"/>
      <c r="D196"/>
      <c r="E196"/>
    </row>
    <row r="197" spans="1:5" x14ac:dyDescent="0.25">
      <c r="A197"/>
      <c r="B197"/>
      <c r="C197"/>
      <c r="D197"/>
      <c r="E197"/>
    </row>
    <row r="198" spans="1:5" x14ac:dyDescent="0.25">
      <c r="A198"/>
      <c r="B198"/>
      <c r="C198"/>
      <c r="D198"/>
      <c r="E198"/>
    </row>
    <row r="199" spans="1:5" x14ac:dyDescent="0.25">
      <c r="A199"/>
      <c r="B199"/>
      <c r="C199"/>
      <c r="D199"/>
      <c r="E199"/>
    </row>
    <row r="200" spans="1:5" x14ac:dyDescent="0.25">
      <c r="A200"/>
      <c r="B200"/>
      <c r="C200"/>
      <c r="D200"/>
      <c r="E200"/>
    </row>
    <row r="201" spans="1:5" x14ac:dyDescent="0.25">
      <c r="A201"/>
      <c r="B201"/>
      <c r="C201"/>
      <c r="D201"/>
      <c r="E201"/>
    </row>
    <row r="202" spans="1:5" x14ac:dyDescent="0.25">
      <c r="A202"/>
      <c r="B202"/>
      <c r="C202"/>
      <c r="D202"/>
      <c r="E202"/>
    </row>
    <row r="203" spans="1:5" x14ac:dyDescent="0.25">
      <c r="A203"/>
      <c r="B203"/>
      <c r="C203"/>
      <c r="D203"/>
      <c r="E203"/>
    </row>
    <row r="204" spans="1:5" x14ac:dyDescent="0.25">
      <c r="A204"/>
      <c r="B204"/>
      <c r="C204"/>
      <c r="D204"/>
      <c r="E204"/>
    </row>
    <row r="205" spans="1:5" x14ac:dyDescent="0.25">
      <c r="A205"/>
      <c r="B205"/>
      <c r="C205"/>
      <c r="D205"/>
      <c r="E205"/>
    </row>
    <row r="206" spans="1:5" x14ac:dyDescent="0.25">
      <c r="A206"/>
      <c r="B206"/>
      <c r="C206"/>
      <c r="D206"/>
      <c r="E206"/>
    </row>
    <row r="207" spans="1:5" x14ac:dyDescent="0.25">
      <c r="A207"/>
      <c r="B207"/>
      <c r="C207"/>
      <c r="D207"/>
      <c r="E207"/>
    </row>
    <row r="208" spans="1:5" x14ac:dyDescent="0.25">
      <c r="A208"/>
      <c r="B208"/>
      <c r="C208"/>
      <c r="D208"/>
      <c r="E208"/>
    </row>
    <row r="209" spans="1:5" x14ac:dyDescent="0.25">
      <c r="A209"/>
      <c r="B209"/>
      <c r="C209"/>
      <c r="D209"/>
      <c r="E209"/>
    </row>
    <row r="210" spans="1:5" x14ac:dyDescent="0.25">
      <c r="A210"/>
      <c r="B210"/>
      <c r="C210"/>
      <c r="D210"/>
      <c r="E210"/>
    </row>
    <row r="211" spans="1:5" x14ac:dyDescent="0.25">
      <c r="A211"/>
      <c r="B211"/>
      <c r="C211"/>
      <c r="D211"/>
      <c r="E211"/>
    </row>
    <row r="212" spans="1:5" x14ac:dyDescent="0.25">
      <c r="A212"/>
      <c r="B212"/>
      <c r="C212"/>
      <c r="D212"/>
      <c r="E212"/>
    </row>
    <row r="213" spans="1:5" x14ac:dyDescent="0.25">
      <c r="A213"/>
      <c r="B213"/>
      <c r="C213"/>
      <c r="D213"/>
      <c r="E213"/>
    </row>
    <row r="214" spans="1:5" x14ac:dyDescent="0.25">
      <c r="A214"/>
      <c r="B214"/>
      <c r="C214"/>
      <c r="D214"/>
      <c r="E214"/>
    </row>
    <row r="215" spans="1:5" x14ac:dyDescent="0.25">
      <c r="A215"/>
      <c r="B215"/>
      <c r="C215"/>
      <c r="D215"/>
      <c r="E215"/>
    </row>
    <row r="216" spans="1:5" x14ac:dyDescent="0.25">
      <c r="A216"/>
      <c r="B216"/>
      <c r="C216"/>
      <c r="D216"/>
      <c r="E216"/>
    </row>
    <row r="217" spans="1:5" x14ac:dyDescent="0.25">
      <c r="A217"/>
      <c r="B217"/>
      <c r="C217"/>
      <c r="D217"/>
      <c r="E217"/>
    </row>
    <row r="218" spans="1:5" x14ac:dyDescent="0.25">
      <c r="A218"/>
      <c r="B218"/>
      <c r="C218"/>
      <c r="D218"/>
      <c r="E218"/>
    </row>
    <row r="219" spans="1:5" x14ac:dyDescent="0.25">
      <c r="A219"/>
      <c r="B219"/>
      <c r="C219"/>
      <c r="D219"/>
      <c r="E219"/>
    </row>
    <row r="220" spans="1:5" x14ac:dyDescent="0.25">
      <c r="A220"/>
      <c r="B220"/>
      <c r="C220"/>
      <c r="D220"/>
      <c r="E220"/>
    </row>
    <row r="221" spans="1:5" x14ac:dyDescent="0.25">
      <c r="A221"/>
      <c r="B221"/>
      <c r="C221"/>
      <c r="D221"/>
      <c r="E221"/>
    </row>
    <row r="222" spans="1:5" x14ac:dyDescent="0.25">
      <c r="A222"/>
      <c r="B222"/>
      <c r="C222"/>
      <c r="D222"/>
      <c r="E222"/>
    </row>
    <row r="223" spans="1:5" x14ac:dyDescent="0.25">
      <c r="A223"/>
      <c r="B223"/>
      <c r="C223"/>
      <c r="D223"/>
      <c r="E223"/>
    </row>
    <row r="224" spans="1:5" x14ac:dyDescent="0.25">
      <c r="A224"/>
      <c r="B224"/>
      <c r="C224"/>
      <c r="D224"/>
      <c r="E224"/>
    </row>
    <row r="225" spans="1:5" x14ac:dyDescent="0.25">
      <c r="A225"/>
      <c r="B225"/>
      <c r="C225"/>
      <c r="D225"/>
      <c r="E225"/>
    </row>
    <row r="226" spans="1:5" x14ac:dyDescent="0.25">
      <c r="A226"/>
      <c r="B226"/>
      <c r="C226"/>
      <c r="D226"/>
      <c r="E226"/>
    </row>
    <row r="227" spans="1:5" x14ac:dyDescent="0.25">
      <c r="A227"/>
      <c r="B227"/>
      <c r="C227"/>
      <c r="D227"/>
      <c r="E227"/>
    </row>
    <row r="228" spans="1:5" x14ac:dyDescent="0.25">
      <c r="A228"/>
      <c r="B228"/>
      <c r="C228"/>
      <c r="D228"/>
      <c r="E228"/>
    </row>
    <row r="229" spans="1:5" x14ac:dyDescent="0.25">
      <c r="A229"/>
      <c r="B229"/>
      <c r="C229"/>
      <c r="D229"/>
      <c r="E229"/>
    </row>
    <row r="230" spans="1:5" x14ac:dyDescent="0.25">
      <c r="A230"/>
      <c r="B230"/>
      <c r="C230"/>
      <c r="D230"/>
      <c r="E230"/>
    </row>
    <row r="231" spans="1:5" x14ac:dyDescent="0.25">
      <c r="A231"/>
      <c r="B231"/>
      <c r="C231"/>
      <c r="D231"/>
      <c r="E231"/>
    </row>
    <row r="232" spans="1:5" x14ac:dyDescent="0.25">
      <c r="A232"/>
      <c r="B232"/>
      <c r="C232"/>
      <c r="D232"/>
      <c r="E232"/>
    </row>
    <row r="233" spans="1:5" x14ac:dyDescent="0.25">
      <c r="A233"/>
      <c r="B233"/>
      <c r="C233"/>
      <c r="D233"/>
      <c r="E233"/>
    </row>
    <row r="234" spans="1:5" x14ac:dyDescent="0.25">
      <c r="A234"/>
      <c r="B234"/>
      <c r="C234"/>
      <c r="D234"/>
      <c r="E234"/>
    </row>
    <row r="235" spans="1:5" x14ac:dyDescent="0.25">
      <c r="A235"/>
      <c r="B235"/>
      <c r="C235"/>
      <c r="D235"/>
      <c r="E235"/>
    </row>
    <row r="236" spans="1:5" x14ac:dyDescent="0.25">
      <c r="A236"/>
      <c r="B236"/>
      <c r="C236"/>
      <c r="D236"/>
      <c r="E236"/>
    </row>
    <row r="237" spans="1:5" x14ac:dyDescent="0.25">
      <c r="A237"/>
      <c r="B237"/>
      <c r="C237"/>
      <c r="D237"/>
      <c r="E237"/>
    </row>
    <row r="238" spans="1:5" x14ac:dyDescent="0.25">
      <c r="A238"/>
      <c r="B238"/>
      <c r="C238"/>
      <c r="D238"/>
      <c r="E238"/>
    </row>
    <row r="239" spans="1:5" x14ac:dyDescent="0.25">
      <c r="A239"/>
      <c r="B239"/>
      <c r="C239"/>
      <c r="D239"/>
      <c r="E239"/>
    </row>
    <row r="240" spans="1:5" x14ac:dyDescent="0.25">
      <c r="A240"/>
      <c r="B240"/>
      <c r="C240"/>
      <c r="D240"/>
      <c r="E240"/>
    </row>
    <row r="241" spans="1:5" x14ac:dyDescent="0.25">
      <c r="A241"/>
      <c r="B241"/>
      <c r="C241"/>
      <c r="D241"/>
      <c r="E241"/>
    </row>
    <row r="242" spans="1:5" x14ac:dyDescent="0.25">
      <c r="A242"/>
      <c r="B242"/>
      <c r="C242"/>
      <c r="D242"/>
      <c r="E242"/>
    </row>
    <row r="243" spans="1:5" x14ac:dyDescent="0.25">
      <c r="A243"/>
      <c r="B243"/>
      <c r="C243"/>
      <c r="D243"/>
      <c r="E243"/>
    </row>
    <row r="244" spans="1:5" x14ac:dyDescent="0.25">
      <c r="A244"/>
      <c r="B244"/>
      <c r="C244"/>
      <c r="D244"/>
      <c r="E244"/>
    </row>
    <row r="245" spans="1:5" x14ac:dyDescent="0.25">
      <c r="A245"/>
      <c r="B245"/>
      <c r="C245"/>
      <c r="D245"/>
      <c r="E245"/>
    </row>
    <row r="246" spans="1:5" x14ac:dyDescent="0.25">
      <c r="A246"/>
      <c r="B246"/>
      <c r="C246"/>
      <c r="D246"/>
      <c r="E246"/>
    </row>
    <row r="247" spans="1:5" x14ac:dyDescent="0.25">
      <c r="A247"/>
      <c r="B247"/>
      <c r="C247"/>
      <c r="D247"/>
      <c r="E247"/>
    </row>
    <row r="248" spans="1:5" x14ac:dyDescent="0.25">
      <c r="A248"/>
      <c r="B248"/>
      <c r="C248"/>
      <c r="D248"/>
      <c r="E248"/>
    </row>
    <row r="249" spans="1:5" x14ac:dyDescent="0.25">
      <c r="A249"/>
      <c r="B249"/>
      <c r="C249"/>
      <c r="D249"/>
      <c r="E249"/>
    </row>
    <row r="250" spans="1:5" x14ac:dyDescent="0.25">
      <c r="A250"/>
      <c r="B250"/>
      <c r="C250"/>
      <c r="D250"/>
      <c r="E250"/>
    </row>
    <row r="251" spans="1:5" x14ac:dyDescent="0.25">
      <c r="A251"/>
      <c r="B251"/>
      <c r="C251"/>
      <c r="D251"/>
      <c r="E251"/>
    </row>
    <row r="252" spans="1:5" x14ac:dyDescent="0.25">
      <c r="A252"/>
      <c r="B252"/>
      <c r="C252"/>
      <c r="D252"/>
      <c r="E252"/>
    </row>
    <row r="253" spans="1:5" x14ac:dyDescent="0.25">
      <c r="A253"/>
      <c r="B253"/>
      <c r="C253"/>
      <c r="D253"/>
      <c r="E253"/>
    </row>
    <row r="254" spans="1:5" x14ac:dyDescent="0.25">
      <c r="A254"/>
      <c r="B254"/>
      <c r="C254"/>
      <c r="D254"/>
      <c r="E254"/>
    </row>
    <row r="255" spans="1:5" x14ac:dyDescent="0.25">
      <c r="A255"/>
      <c r="B255"/>
      <c r="C255"/>
      <c r="D255"/>
      <c r="E255"/>
    </row>
    <row r="256" spans="1:5" x14ac:dyDescent="0.25">
      <c r="A256"/>
      <c r="B256"/>
      <c r="C256"/>
      <c r="D256"/>
      <c r="E256"/>
    </row>
    <row r="257" spans="1:5" x14ac:dyDescent="0.25">
      <c r="A257"/>
      <c r="B257"/>
      <c r="C257"/>
      <c r="D257"/>
      <c r="E257"/>
    </row>
    <row r="258" spans="1:5" x14ac:dyDescent="0.25">
      <c r="A258"/>
      <c r="B258"/>
      <c r="C258"/>
      <c r="D258"/>
      <c r="E258"/>
    </row>
    <row r="259" spans="1:5" x14ac:dyDescent="0.25">
      <c r="A259"/>
      <c r="B259"/>
      <c r="C259"/>
      <c r="D259"/>
      <c r="E259"/>
    </row>
    <row r="260" spans="1:5" x14ac:dyDescent="0.25">
      <c r="A260"/>
      <c r="B260"/>
      <c r="C260"/>
      <c r="D260"/>
      <c r="E260"/>
    </row>
    <row r="261" spans="1:5" x14ac:dyDescent="0.25">
      <c r="A261"/>
      <c r="B261"/>
      <c r="C261"/>
      <c r="D261"/>
      <c r="E261"/>
    </row>
    <row r="262" spans="1:5" x14ac:dyDescent="0.25">
      <c r="A262"/>
      <c r="B262"/>
      <c r="C262"/>
      <c r="D262"/>
      <c r="E262"/>
    </row>
    <row r="263" spans="1:5" x14ac:dyDescent="0.25">
      <c r="A263"/>
      <c r="B263"/>
      <c r="C263"/>
      <c r="D263"/>
      <c r="E263"/>
    </row>
    <row r="264" spans="1:5" x14ac:dyDescent="0.25">
      <c r="A264"/>
      <c r="B264"/>
      <c r="C264"/>
      <c r="D264"/>
      <c r="E264"/>
    </row>
    <row r="265" spans="1:5" x14ac:dyDescent="0.25">
      <c r="A265"/>
      <c r="B265"/>
      <c r="C265"/>
      <c r="D265"/>
      <c r="E265"/>
    </row>
    <row r="266" spans="1:5" x14ac:dyDescent="0.25">
      <c r="A266"/>
      <c r="B266"/>
      <c r="C266"/>
      <c r="D266"/>
      <c r="E266"/>
    </row>
    <row r="267" spans="1:5" x14ac:dyDescent="0.25">
      <c r="A267"/>
      <c r="B267"/>
      <c r="C267"/>
      <c r="D267"/>
      <c r="E267"/>
    </row>
    <row r="268" spans="1:5" x14ac:dyDescent="0.25">
      <c r="A268"/>
      <c r="B268"/>
      <c r="C268"/>
      <c r="D268"/>
      <c r="E268"/>
    </row>
    <row r="269" spans="1:5" x14ac:dyDescent="0.25">
      <c r="A269"/>
      <c r="B269"/>
      <c r="C269"/>
      <c r="D269"/>
      <c r="E269"/>
    </row>
    <row r="270" spans="1:5" x14ac:dyDescent="0.25">
      <c r="A270"/>
      <c r="B270"/>
      <c r="C270"/>
      <c r="D270"/>
      <c r="E270"/>
    </row>
    <row r="271" spans="1:5" x14ac:dyDescent="0.25">
      <c r="A271"/>
      <c r="B271"/>
      <c r="C271"/>
      <c r="D271"/>
      <c r="E271"/>
    </row>
    <row r="272" spans="1:5" x14ac:dyDescent="0.25">
      <c r="A272"/>
      <c r="B272"/>
      <c r="C272"/>
      <c r="D272"/>
      <c r="E272"/>
    </row>
    <row r="273" spans="1:5" x14ac:dyDescent="0.25">
      <c r="A273"/>
      <c r="B273"/>
      <c r="C273"/>
      <c r="D273"/>
      <c r="E273"/>
    </row>
    <row r="274" spans="1:5" x14ac:dyDescent="0.25">
      <c r="A274"/>
      <c r="B274"/>
      <c r="C274"/>
      <c r="D274"/>
      <c r="E274"/>
    </row>
    <row r="275" spans="1:5" x14ac:dyDescent="0.25">
      <c r="A275"/>
      <c r="B275"/>
      <c r="C275"/>
      <c r="D275"/>
      <c r="E275"/>
    </row>
    <row r="276" spans="1:5" x14ac:dyDescent="0.25">
      <c r="A276"/>
      <c r="B276"/>
      <c r="C276"/>
      <c r="D276"/>
      <c r="E276"/>
    </row>
    <row r="277" spans="1:5" x14ac:dyDescent="0.25">
      <c r="A277"/>
      <c r="B277"/>
      <c r="C277"/>
      <c r="D277"/>
      <c r="E277"/>
    </row>
    <row r="278" spans="1:5" x14ac:dyDescent="0.25">
      <c r="A278"/>
      <c r="B278"/>
      <c r="C278"/>
      <c r="D278"/>
      <c r="E278"/>
    </row>
    <row r="279" spans="1:5" x14ac:dyDescent="0.25">
      <c r="A279"/>
      <c r="B279"/>
      <c r="C279"/>
      <c r="D279"/>
      <c r="E279"/>
    </row>
    <row r="280" spans="1:5" x14ac:dyDescent="0.25">
      <c r="A280"/>
      <c r="B280"/>
      <c r="C280"/>
      <c r="D280"/>
      <c r="E280"/>
    </row>
    <row r="281" spans="1:5" x14ac:dyDescent="0.25">
      <c r="A281"/>
      <c r="B281"/>
      <c r="C281"/>
      <c r="D281"/>
      <c r="E281"/>
    </row>
    <row r="282" spans="1:5" x14ac:dyDescent="0.25">
      <c r="A282"/>
      <c r="B282"/>
      <c r="C282"/>
      <c r="D282"/>
      <c r="E282"/>
    </row>
    <row r="283" spans="1:5" x14ac:dyDescent="0.25">
      <c r="A283"/>
      <c r="B283"/>
      <c r="C283"/>
      <c r="D283"/>
      <c r="E283"/>
    </row>
    <row r="284" spans="1:5" x14ac:dyDescent="0.25">
      <c r="A284"/>
      <c r="B284"/>
      <c r="C284"/>
      <c r="D284"/>
      <c r="E284"/>
    </row>
    <row r="285" spans="1:5" x14ac:dyDescent="0.25">
      <c r="A285"/>
      <c r="B285"/>
      <c r="C285"/>
      <c r="D285"/>
      <c r="E285"/>
    </row>
    <row r="286" spans="1:5" x14ac:dyDescent="0.25">
      <c r="A286"/>
      <c r="B286"/>
      <c r="C286"/>
      <c r="D286"/>
      <c r="E286"/>
    </row>
    <row r="287" spans="1:5" x14ac:dyDescent="0.25">
      <c r="A287"/>
      <c r="B287"/>
      <c r="C287"/>
      <c r="D287"/>
      <c r="E287"/>
    </row>
    <row r="288" spans="1:5" x14ac:dyDescent="0.25">
      <c r="A288"/>
      <c r="B288"/>
      <c r="C288"/>
      <c r="D288"/>
      <c r="E288"/>
    </row>
    <row r="289" spans="1:5" x14ac:dyDescent="0.25">
      <c r="A289"/>
      <c r="B289"/>
      <c r="C289"/>
      <c r="D289"/>
      <c r="E289"/>
    </row>
    <row r="290" spans="1:5" x14ac:dyDescent="0.25">
      <c r="A290"/>
      <c r="B290"/>
      <c r="C290"/>
      <c r="D290"/>
      <c r="E290"/>
    </row>
    <row r="291" spans="1:5" x14ac:dyDescent="0.25">
      <c r="A291"/>
      <c r="B291"/>
      <c r="C291"/>
      <c r="D291"/>
      <c r="E291"/>
    </row>
    <row r="292" spans="1:5" x14ac:dyDescent="0.25">
      <c r="A292"/>
      <c r="B292"/>
      <c r="C292"/>
      <c r="D292"/>
      <c r="E292"/>
    </row>
    <row r="293" spans="1:5" x14ac:dyDescent="0.25">
      <c r="A293"/>
      <c r="B293"/>
      <c r="C293"/>
      <c r="D293"/>
      <c r="E293"/>
    </row>
    <row r="294" spans="1:5" x14ac:dyDescent="0.25">
      <c r="A294"/>
      <c r="B294"/>
      <c r="C294"/>
      <c r="D294"/>
      <c r="E294"/>
    </row>
    <row r="295" spans="1:5" x14ac:dyDescent="0.25">
      <c r="A295"/>
      <c r="B295"/>
      <c r="C295"/>
      <c r="D295"/>
      <c r="E295"/>
    </row>
    <row r="296" spans="1:5" x14ac:dyDescent="0.25">
      <c r="A296"/>
      <c r="B296"/>
      <c r="C296"/>
      <c r="D296"/>
      <c r="E296"/>
    </row>
    <row r="297" spans="1:5" x14ac:dyDescent="0.25">
      <c r="A297"/>
      <c r="B297"/>
      <c r="C297"/>
      <c r="D297"/>
      <c r="E297"/>
    </row>
    <row r="298" spans="1:5" x14ac:dyDescent="0.25">
      <c r="A298"/>
      <c r="B298"/>
      <c r="C298"/>
      <c r="D298"/>
      <c r="E298"/>
    </row>
    <row r="299" spans="1:5" x14ac:dyDescent="0.25">
      <c r="A299"/>
      <c r="B299"/>
      <c r="C299"/>
      <c r="D299"/>
      <c r="E299"/>
    </row>
    <row r="300" spans="1:5" x14ac:dyDescent="0.25">
      <c r="A300"/>
      <c r="B300"/>
      <c r="C300"/>
      <c r="D300"/>
      <c r="E300"/>
    </row>
    <row r="301" spans="1:5" x14ac:dyDescent="0.25">
      <c r="A301"/>
      <c r="B301"/>
      <c r="C301"/>
      <c r="D301"/>
      <c r="E301"/>
    </row>
    <row r="302" spans="1:5" x14ac:dyDescent="0.25">
      <c r="A302"/>
      <c r="B302"/>
      <c r="C302"/>
      <c r="D302"/>
      <c r="E302"/>
    </row>
    <row r="303" spans="1:5" x14ac:dyDescent="0.25">
      <c r="A303"/>
      <c r="B303"/>
      <c r="C303" s="13"/>
      <c r="D303"/>
      <c r="E303"/>
    </row>
    <row r="304" spans="1:5" x14ac:dyDescent="0.25">
      <c r="A304"/>
      <c r="B304"/>
      <c r="C304" s="13"/>
      <c r="D304"/>
      <c r="E304"/>
    </row>
    <row r="305" spans="1:5" x14ac:dyDescent="0.25">
      <c r="A305"/>
      <c r="B305"/>
      <c r="C305" s="13"/>
      <c r="D305"/>
      <c r="E305"/>
    </row>
    <row r="306" spans="1:5" x14ac:dyDescent="0.25">
      <c r="A306"/>
      <c r="B306"/>
      <c r="C306" s="13"/>
      <c r="D306"/>
      <c r="E306"/>
    </row>
    <row r="307" spans="1:5" x14ac:dyDescent="0.25">
      <c r="A307"/>
      <c r="B307"/>
      <c r="C307" s="13"/>
      <c r="D307"/>
      <c r="E307"/>
    </row>
    <row r="308" spans="1:5" x14ac:dyDescent="0.25">
      <c r="A308"/>
      <c r="B308"/>
      <c r="C308" s="13"/>
      <c r="D308"/>
      <c r="E308"/>
    </row>
    <row r="309" spans="1:5" x14ac:dyDescent="0.25">
      <c r="A309"/>
      <c r="B309"/>
      <c r="C309" s="13"/>
      <c r="D309"/>
      <c r="E309"/>
    </row>
    <row r="310" spans="1:5" x14ac:dyDescent="0.25">
      <c r="A310"/>
      <c r="B310"/>
      <c r="C310" s="13"/>
      <c r="D310"/>
      <c r="E310"/>
    </row>
    <row r="311" spans="1:5" x14ac:dyDescent="0.25">
      <c r="A311"/>
      <c r="B311"/>
      <c r="C311" s="13"/>
      <c r="D311"/>
      <c r="E311"/>
    </row>
    <row r="312" spans="1:5" x14ac:dyDescent="0.25">
      <c r="A312"/>
      <c r="B312"/>
      <c r="C312" s="13"/>
      <c r="D312"/>
      <c r="E312"/>
    </row>
    <row r="313" spans="1:5" x14ac:dyDescent="0.25">
      <c r="A313"/>
      <c r="B313"/>
      <c r="C313" s="13"/>
      <c r="D313"/>
      <c r="E313"/>
    </row>
    <row r="314" spans="1:5" x14ac:dyDescent="0.25">
      <c r="A314"/>
      <c r="B314"/>
      <c r="C314" s="13"/>
      <c r="D314"/>
      <c r="E314"/>
    </row>
    <row r="315" spans="1:5" x14ac:dyDescent="0.25">
      <c r="A315"/>
      <c r="B315"/>
      <c r="C315" s="13"/>
      <c r="D315"/>
      <c r="E315"/>
    </row>
    <row r="316" spans="1:5" x14ac:dyDescent="0.25">
      <c r="A316"/>
      <c r="B316"/>
      <c r="C316" s="13"/>
      <c r="D316"/>
      <c r="E316"/>
    </row>
    <row r="317" spans="1:5" x14ac:dyDescent="0.25">
      <c r="A317"/>
      <c r="B317"/>
      <c r="C317" s="13"/>
      <c r="D317"/>
      <c r="E317"/>
    </row>
    <row r="318" spans="1:5" x14ac:dyDescent="0.25">
      <c r="A318"/>
      <c r="B318"/>
      <c r="C318" s="13"/>
      <c r="D318"/>
      <c r="E318"/>
    </row>
    <row r="319" spans="1:5" x14ac:dyDescent="0.25">
      <c r="A319"/>
      <c r="B319"/>
      <c r="C319" s="13"/>
      <c r="D319"/>
      <c r="E319"/>
    </row>
    <row r="320" spans="1:5" x14ac:dyDescent="0.25">
      <c r="A320"/>
      <c r="B320"/>
      <c r="C320" s="13"/>
      <c r="D320"/>
      <c r="E320"/>
    </row>
    <row r="321" spans="1:5" x14ac:dyDescent="0.25">
      <c r="A321"/>
      <c r="B321"/>
      <c r="C321" s="13"/>
      <c r="D321"/>
      <c r="E321"/>
    </row>
    <row r="322" spans="1:5" x14ac:dyDescent="0.25">
      <c r="A322"/>
      <c r="B322"/>
      <c r="C322" s="13"/>
      <c r="D322"/>
      <c r="E322"/>
    </row>
    <row r="323" spans="1:5" x14ac:dyDescent="0.25">
      <c r="A323"/>
      <c r="B323"/>
      <c r="C323" s="13"/>
      <c r="D323"/>
      <c r="E323"/>
    </row>
    <row r="324" spans="1:5" x14ac:dyDescent="0.25">
      <c r="A324"/>
      <c r="B324"/>
      <c r="C324" s="13"/>
      <c r="D324"/>
      <c r="E324"/>
    </row>
    <row r="325" spans="1:5" x14ac:dyDescent="0.25">
      <c r="A325"/>
      <c r="B325"/>
      <c r="C325" s="13"/>
      <c r="D325"/>
      <c r="E325"/>
    </row>
    <row r="326" spans="1:5" x14ac:dyDescent="0.25">
      <c r="A326"/>
      <c r="B326"/>
      <c r="C326" s="13"/>
      <c r="D326"/>
      <c r="E326"/>
    </row>
    <row r="327" spans="1:5" x14ac:dyDescent="0.25">
      <c r="A327"/>
      <c r="B327"/>
      <c r="C327" s="13"/>
      <c r="D327"/>
      <c r="E327"/>
    </row>
    <row r="328" spans="1:5" x14ac:dyDescent="0.25">
      <c r="A328"/>
      <c r="B328"/>
      <c r="C328" s="13"/>
      <c r="D328"/>
      <c r="E328"/>
    </row>
    <row r="329" spans="1:5" x14ac:dyDescent="0.25">
      <c r="A329"/>
      <c r="B329"/>
      <c r="C329" s="13"/>
      <c r="D329"/>
      <c r="E329"/>
    </row>
    <row r="330" spans="1:5" x14ac:dyDescent="0.25">
      <c r="A330"/>
      <c r="B330"/>
      <c r="C330" s="13"/>
      <c r="D330"/>
      <c r="E330"/>
    </row>
    <row r="331" spans="1:5" x14ac:dyDescent="0.25">
      <c r="A331"/>
      <c r="B331"/>
      <c r="C331" s="13"/>
      <c r="D331"/>
      <c r="E331"/>
    </row>
    <row r="332" spans="1:5" x14ac:dyDescent="0.25">
      <c r="A332"/>
      <c r="B332"/>
      <c r="C332" s="13"/>
      <c r="D332"/>
      <c r="E332"/>
    </row>
    <row r="333" spans="1:5" x14ac:dyDescent="0.25">
      <c r="A333"/>
      <c r="B333"/>
      <c r="C333" s="13"/>
      <c r="D333"/>
      <c r="E333"/>
    </row>
    <row r="334" spans="1:5" x14ac:dyDescent="0.25">
      <c r="A334"/>
      <c r="B334"/>
      <c r="C334" s="13"/>
      <c r="D334"/>
      <c r="E334"/>
    </row>
    <row r="335" spans="1:5" x14ac:dyDescent="0.25">
      <c r="A335"/>
      <c r="B335"/>
      <c r="C335" s="13"/>
      <c r="D335"/>
      <c r="E335"/>
    </row>
    <row r="336" spans="1:5" x14ac:dyDescent="0.25">
      <c r="A336"/>
      <c r="B336"/>
      <c r="C336" s="13"/>
      <c r="D336"/>
      <c r="E336"/>
    </row>
    <row r="337" spans="1:5" x14ac:dyDescent="0.25">
      <c r="A337"/>
      <c r="B337"/>
      <c r="C337" s="13"/>
      <c r="D337"/>
      <c r="E337"/>
    </row>
    <row r="338" spans="1:5" x14ac:dyDescent="0.25">
      <c r="A338"/>
      <c r="B338"/>
      <c r="C338" s="13"/>
      <c r="D338"/>
      <c r="E338"/>
    </row>
    <row r="339" spans="1:5" x14ac:dyDescent="0.25">
      <c r="A339"/>
      <c r="B339"/>
      <c r="C339" s="13"/>
      <c r="D339"/>
      <c r="E339"/>
    </row>
    <row r="340" spans="1:5" x14ac:dyDescent="0.25">
      <c r="A340"/>
      <c r="B340"/>
      <c r="C340" s="13"/>
      <c r="D340"/>
      <c r="E340"/>
    </row>
    <row r="341" spans="1:5" x14ac:dyDescent="0.25">
      <c r="A341"/>
      <c r="B341"/>
      <c r="C341" s="13"/>
      <c r="D341"/>
      <c r="E341"/>
    </row>
    <row r="342" spans="1:5" x14ac:dyDescent="0.25">
      <c r="A342"/>
      <c r="B342"/>
      <c r="C342" s="13"/>
      <c r="D342"/>
      <c r="E342"/>
    </row>
    <row r="343" spans="1:5" x14ac:dyDescent="0.25">
      <c r="A343"/>
      <c r="B343"/>
      <c r="C343" s="13"/>
      <c r="D343"/>
      <c r="E343"/>
    </row>
    <row r="344" spans="1:5" x14ac:dyDescent="0.25">
      <c r="A344"/>
      <c r="B344"/>
      <c r="C344" s="13"/>
      <c r="D344"/>
      <c r="E344"/>
    </row>
    <row r="345" spans="1:5" x14ac:dyDescent="0.25">
      <c r="A345"/>
      <c r="B345"/>
      <c r="C345" s="13"/>
      <c r="D345"/>
      <c r="E345"/>
    </row>
    <row r="346" spans="1:5" x14ac:dyDescent="0.25">
      <c r="A346"/>
      <c r="B346"/>
      <c r="C346" s="13"/>
      <c r="D346"/>
      <c r="E346"/>
    </row>
    <row r="347" spans="1:5" x14ac:dyDescent="0.25">
      <c r="A347"/>
      <c r="B347"/>
      <c r="C347" s="13"/>
      <c r="D347"/>
      <c r="E347"/>
    </row>
    <row r="348" spans="1:5" x14ac:dyDescent="0.25">
      <c r="A348"/>
      <c r="B348"/>
      <c r="C348" s="13"/>
      <c r="D348"/>
      <c r="E348"/>
    </row>
    <row r="349" spans="1:5" x14ac:dyDescent="0.25">
      <c r="A349"/>
      <c r="B349"/>
      <c r="C349" s="13"/>
      <c r="D349"/>
      <c r="E349"/>
    </row>
    <row r="350" spans="1:5" x14ac:dyDescent="0.25">
      <c r="A350"/>
      <c r="B350"/>
      <c r="C350" s="13"/>
      <c r="D350"/>
      <c r="E350"/>
    </row>
    <row r="351" spans="1:5" x14ac:dyDescent="0.25">
      <c r="A351"/>
      <c r="B351"/>
      <c r="C351" s="13"/>
      <c r="D351"/>
      <c r="E351"/>
    </row>
    <row r="352" spans="1:5" x14ac:dyDescent="0.25">
      <c r="A352"/>
      <c r="B352"/>
      <c r="C352" s="13"/>
      <c r="D352"/>
      <c r="E352"/>
    </row>
    <row r="353" spans="1:5" x14ac:dyDescent="0.25">
      <c r="A353"/>
      <c r="B353"/>
      <c r="C353" s="13"/>
      <c r="D353"/>
      <c r="E353"/>
    </row>
    <row r="354" spans="1:5" x14ac:dyDescent="0.25">
      <c r="A354"/>
      <c r="B354"/>
      <c r="C354" s="13"/>
      <c r="D354"/>
      <c r="E354"/>
    </row>
    <row r="355" spans="1:5" x14ac:dyDescent="0.25">
      <c r="A355"/>
      <c r="B355"/>
      <c r="C355" s="13"/>
      <c r="D355"/>
      <c r="E355"/>
    </row>
    <row r="356" spans="1:5" x14ac:dyDescent="0.25">
      <c r="A356"/>
      <c r="B356"/>
      <c r="C356" s="13"/>
      <c r="D356"/>
      <c r="E356"/>
    </row>
    <row r="357" spans="1:5" x14ac:dyDescent="0.25">
      <c r="A357"/>
      <c r="B357"/>
      <c r="C357" s="13"/>
      <c r="D357"/>
      <c r="E357"/>
    </row>
    <row r="358" spans="1:5" x14ac:dyDescent="0.25">
      <c r="A358"/>
      <c r="B358"/>
      <c r="C358" s="13"/>
      <c r="D358"/>
      <c r="E358"/>
    </row>
    <row r="359" spans="1:5" x14ac:dyDescent="0.25">
      <c r="A359"/>
      <c r="B359"/>
      <c r="C359" s="13"/>
      <c r="D359"/>
      <c r="E359"/>
    </row>
    <row r="360" spans="1:5" x14ac:dyDescent="0.25">
      <c r="A360"/>
      <c r="B360"/>
      <c r="C360" s="13"/>
      <c r="D360"/>
      <c r="E360"/>
    </row>
    <row r="361" spans="1:5" x14ac:dyDescent="0.25">
      <c r="A361"/>
      <c r="B361"/>
      <c r="C361" s="13"/>
      <c r="D361"/>
      <c r="E361"/>
    </row>
    <row r="362" spans="1:5" x14ac:dyDescent="0.25">
      <c r="A362"/>
      <c r="B362"/>
      <c r="C362" s="13"/>
      <c r="D362"/>
      <c r="E362"/>
    </row>
    <row r="363" spans="1:5" x14ac:dyDescent="0.25">
      <c r="A363"/>
      <c r="B363"/>
      <c r="C363" s="13"/>
      <c r="D363"/>
      <c r="E363"/>
    </row>
    <row r="364" spans="1:5" x14ac:dyDescent="0.25">
      <c r="A364"/>
      <c r="B364"/>
      <c r="C364" s="13"/>
      <c r="D364"/>
      <c r="E364"/>
    </row>
    <row r="365" spans="1:5" x14ac:dyDescent="0.25">
      <c r="A365"/>
      <c r="B365"/>
      <c r="C365" s="13"/>
      <c r="D365"/>
      <c r="E365"/>
    </row>
    <row r="366" spans="1:5" x14ac:dyDescent="0.25">
      <c r="A366"/>
      <c r="B366"/>
      <c r="C366" s="13"/>
      <c r="D366"/>
      <c r="E366"/>
    </row>
    <row r="367" spans="1:5" x14ac:dyDescent="0.25">
      <c r="A367"/>
      <c r="B367"/>
      <c r="C367" s="13"/>
      <c r="D367"/>
      <c r="E367"/>
    </row>
    <row r="368" spans="1:5" x14ac:dyDescent="0.25">
      <c r="A368"/>
      <c r="B368"/>
      <c r="C368" s="13"/>
      <c r="D368"/>
      <c r="E368"/>
    </row>
    <row r="369" spans="1:5" x14ac:dyDescent="0.25">
      <c r="A369"/>
      <c r="B369"/>
      <c r="C369" s="13"/>
      <c r="D369"/>
      <c r="E369"/>
    </row>
    <row r="370" spans="1:5" x14ac:dyDescent="0.25">
      <c r="A370"/>
      <c r="B370"/>
      <c r="C370" s="13"/>
      <c r="D370"/>
      <c r="E370"/>
    </row>
    <row r="371" spans="1:5" x14ac:dyDescent="0.25">
      <c r="A371"/>
      <c r="B371"/>
      <c r="C371" s="13"/>
      <c r="D371"/>
      <c r="E371"/>
    </row>
    <row r="372" spans="1:5" x14ac:dyDescent="0.25">
      <c r="A372"/>
      <c r="B372"/>
      <c r="C372" s="13"/>
      <c r="D372"/>
      <c r="E372"/>
    </row>
    <row r="373" spans="1:5" x14ac:dyDescent="0.25">
      <c r="A373"/>
      <c r="B373"/>
      <c r="C373" s="13"/>
      <c r="D373"/>
      <c r="E373"/>
    </row>
    <row r="374" spans="1:5" x14ac:dyDescent="0.25">
      <c r="A374"/>
      <c r="B374"/>
      <c r="C374" s="13"/>
      <c r="D374"/>
      <c r="E374"/>
    </row>
    <row r="375" spans="1:5" x14ac:dyDescent="0.25">
      <c r="A375"/>
      <c r="B375"/>
      <c r="C375" s="13"/>
      <c r="D375"/>
      <c r="E375"/>
    </row>
    <row r="376" spans="1:5" x14ac:dyDescent="0.25">
      <c r="A376"/>
      <c r="B376"/>
      <c r="C376" s="13"/>
      <c r="D376"/>
      <c r="E376"/>
    </row>
    <row r="377" spans="1:5" x14ac:dyDescent="0.25">
      <c r="A377"/>
      <c r="B377"/>
      <c r="C377" s="13"/>
      <c r="D377"/>
      <c r="E377"/>
    </row>
    <row r="378" spans="1:5" x14ac:dyDescent="0.25">
      <c r="A378"/>
      <c r="B378"/>
      <c r="C378" s="13"/>
      <c r="D378"/>
      <c r="E378"/>
    </row>
    <row r="379" spans="1:5" x14ac:dyDescent="0.25">
      <c r="A379"/>
      <c r="B379"/>
      <c r="C379" s="13"/>
      <c r="D379"/>
      <c r="E379"/>
    </row>
    <row r="380" spans="1:5" x14ac:dyDescent="0.25">
      <c r="A380"/>
      <c r="B380"/>
      <c r="C380" s="13"/>
      <c r="D380"/>
      <c r="E380"/>
    </row>
    <row r="381" spans="1:5" x14ac:dyDescent="0.25">
      <c r="A381"/>
      <c r="B381"/>
      <c r="C381" s="13"/>
      <c r="D381"/>
      <c r="E381"/>
    </row>
    <row r="382" spans="1:5" x14ac:dyDescent="0.25">
      <c r="A382"/>
      <c r="B382"/>
      <c r="C382" s="13"/>
      <c r="D382"/>
      <c r="E382"/>
    </row>
    <row r="383" spans="1:5" x14ac:dyDescent="0.25">
      <c r="A383"/>
      <c r="B383"/>
      <c r="C383" s="13"/>
      <c r="D383"/>
      <c r="E383"/>
    </row>
    <row r="384" spans="1:5" x14ac:dyDescent="0.25">
      <c r="A384"/>
      <c r="B384"/>
      <c r="C384" s="13"/>
      <c r="D384"/>
      <c r="E384"/>
    </row>
    <row r="385" spans="1:5" x14ac:dyDescent="0.25">
      <c r="A385"/>
      <c r="B385"/>
      <c r="C385" s="13"/>
      <c r="D385"/>
      <c r="E385"/>
    </row>
    <row r="386" spans="1:5" x14ac:dyDescent="0.25">
      <c r="A386"/>
      <c r="B386"/>
      <c r="C386" s="13"/>
      <c r="D386"/>
      <c r="E386"/>
    </row>
    <row r="387" spans="1:5" x14ac:dyDescent="0.25">
      <c r="A387"/>
      <c r="B387"/>
      <c r="C387" s="13"/>
      <c r="D387"/>
      <c r="E387"/>
    </row>
    <row r="388" spans="1:5" x14ac:dyDescent="0.25">
      <c r="A388"/>
      <c r="B388"/>
      <c r="C388" s="13"/>
      <c r="D388"/>
      <c r="E388"/>
    </row>
    <row r="389" spans="1:5" x14ac:dyDescent="0.25">
      <c r="A389"/>
      <c r="B389"/>
      <c r="C389" s="13"/>
      <c r="D389"/>
      <c r="E389"/>
    </row>
    <row r="390" spans="1:5" x14ac:dyDescent="0.25">
      <c r="A390"/>
      <c r="B390"/>
      <c r="C390" s="13"/>
      <c r="D390"/>
      <c r="E390"/>
    </row>
    <row r="391" spans="1:5" x14ac:dyDescent="0.25">
      <c r="A391"/>
      <c r="B391"/>
      <c r="C391" s="13"/>
      <c r="D391"/>
      <c r="E391"/>
    </row>
    <row r="392" spans="1:5" x14ac:dyDescent="0.25">
      <c r="A392"/>
      <c r="B392"/>
      <c r="C392" s="13"/>
      <c r="D392"/>
      <c r="E392"/>
    </row>
    <row r="393" spans="1:5" x14ac:dyDescent="0.25">
      <c r="A393"/>
      <c r="B393"/>
      <c r="C393" s="13"/>
      <c r="D393"/>
      <c r="E393"/>
    </row>
    <row r="394" spans="1:5" x14ac:dyDescent="0.25">
      <c r="A394"/>
      <c r="B394"/>
      <c r="C394" s="13"/>
      <c r="D394"/>
      <c r="E394"/>
    </row>
    <row r="395" spans="1:5" x14ac:dyDescent="0.25">
      <c r="A395"/>
      <c r="B395"/>
      <c r="C395" s="13"/>
      <c r="D395"/>
      <c r="E395"/>
    </row>
    <row r="396" spans="1:5" x14ac:dyDescent="0.25">
      <c r="A396"/>
      <c r="B396"/>
      <c r="C396" s="13"/>
      <c r="D396"/>
      <c r="E396"/>
    </row>
    <row r="397" spans="1:5" x14ac:dyDescent="0.25">
      <c r="A397"/>
      <c r="B397"/>
      <c r="C397" s="13"/>
      <c r="D397"/>
      <c r="E397"/>
    </row>
    <row r="398" spans="1:5" x14ac:dyDescent="0.25">
      <c r="A398"/>
      <c r="B398"/>
      <c r="C398" s="13"/>
      <c r="D398"/>
      <c r="E398"/>
    </row>
    <row r="399" spans="1:5" x14ac:dyDescent="0.25">
      <c r="A399"/>
      <c r="B399"/>
      <c r="C399" s="13"/>
      <c r="D399"/>
      <c r="E399"/>
    </row>
    <row r="400" spans="1:5" x14ac:dyDescent="0.25">
      <c r="A400"/>
      <c r="B400"/>
      <c r="C400" s="13"/>
      <c r="D400"/>
      <c r="E400"/>
    </row>
    <row r="401" spans="1:5" x14ac:dyDescent="0.25">
      <c r="A401"/>
      <c r="B401"/>
      <c r="C401" s="13"/>
      <c r="D401"/>
      <c r="E401"/>
    </row>
    <row r="402" spans="1:5" x14ac:dyDescent="0.25">
      <c r="A402"/>
      <c r="B402"/>
      <c r="C402" s="13"/>
      <c r="D402"/>
      <c r="E402"/>
    </row>
    <row r="403" spans="1:5" x14ac:dyDescent="0.25">
      <c r="A403"/>
      <c r="B403"/>
      <c r="C403" s="13"/>
      <c r="D403"/>
      <c r="E403"/>
    </row>
    <row r="404" spans="1:5" x14ac:dyDescent="0.25">
      <c r="A404"/>
      <c r="B404"/>
      <c r="C404" s="13"/>
      <c r="D404"/>
      <c r="E404"/>
    </row>
    <row r="405" spans="1:5" x14ac:dyDescent="0.25">
      <c r="A405"/>
      <c r="B405"/>
      <c r="C405" s="13"/>
      <c r="D405"/>
      <c r="E405"/>
    </row>
    <row r="406" spans="1:5" x14ac:dyDescent="0.25">
      <c r="A406"/>
      <c r="B406"/>
      <c r="C406" s="13"/>
      <c r="D406"/>
      <c r="E406"/>
    </row>
    <row r="407" spans="1:5" x14ac:dyDescent="0.25">
      <c r="A407"/>
      <c r="B407"/>
      <c r="C407" s="13"/>
      <c r="D407"/>
      <c r="E407"/>
    </row>
    <row r="408" spans="1:5" x14ac:dyDescent="0.25">
      <c r="A408"/>
      <c r="B408"/>
      <c r="C408" s="13"/>
      <c r="D408"/>
      <c r="E408"/>
    </row>
    <row r="409" spans="1:5" x14ac:dyDescent="0.25">
      <c r="A409"/>
      <c r="B409"/>
      <c r="C409" s="13"/>
      <c r="D409"/>
      <c r="E409"/>
    </row>
    <row r="410" spans="1:5" x14ac:dyDescent="0.25">
      <c r="A410"/>
      <c r="B410"/>
      <c r="C410" s="13"/>
      <c r="D410"/>
      <c r="E410"/>
    </row>
    <row r="411" spans="1:5" x14ac:dyDescent="0.25">
      <c r="A411"/>
      <c r="B411"/>
      <c r="C411" s="13"/>
      <c r="D411"/>
      <c r="E411"/>
    </row>
    <row r="412" spans="1:5" x14ac:dyDescent="0.25">
      <c r="A412"/>
      <c r="B412"/>
      <c r="C412" s="13"/>
      <c r="D412"/>
      <c r="E412"/>
    </row>
    <row r="413" spans="1:5" x14ac:dyDescent="0.25">
      <c r="A413"/>
      <c r="B413"/>
      <c r="C413" s="13"/>
      <c r="D413"/>
      <c r="E413"/>
    </row>
    <row r="414" spans="1:5" x14ac:dyDescent="0.25">
      <c r="A414"/>
      <c r="B414"/>
      <c r="C414" s="13"/>
      <c r="D414"/>
      <c r="E414"/>
    </row>
    <row r="415" spans="1:5" x14ac:dyDescent="0.25">
      <c r="A415"/>
      <c r="B415"/>
      <c r="C415" s="13"/>
      <c r="D415"/>
      <c r="E415"/>
    </row>
    <row r="416" spans="1:5" x14ac:dyDescent="0.25">
      <c r="A416"/>
      <c r="B416"/>
      <c r="C416" s="13"/>
      <c r="D416"/>
      <c r="E416"/>
    </row>
    <row r="417" spans="1:5" x14ac:dyDescent="0.25">
      <c r="A417"/>
      <c r="B417"/>
      <c r="C417" s="13"/>
      <c r="D417"/>
      <c r="E417"/>
    </row>
    <row r="418" spans="1:5" x14ac:dyDescent="0.25">
      <c r="A418"/>
      <c r="B418"/>
      <c r="C418" s="13"/>
      <c r="D418"/>
      <c r="E418"/>
    </row>
    <row r="419" spans="1:5" x14ac:dyDescent="0.25">
      <c r="A419"/>
      <c r="B419"/>
      <c r="C419" s="13"/>
      <c r="D419"/>
      <c r="E419"/>
    </row>
    <row r="420" spans="1:5" x14ac:dyDescent="0.25">
      <c r="A420"/>
      <c r="B420"/>
      <c r="C420" s="13"/>
      <c r="D420"/>
      <c r="E420"/>
    </row>
    <row r="421" spans="1:5" x14ac:dyDescent="0.25">
      <c r="A421"/>
      <c r="B421"/>
      <c r="C421" s="13"/>
      <c r="D421"/>
      <c r="E421"/>
    </row>
    <row r="422" spans="1:5" x14ac:dyDescent="0.25">
      <c r="A422"/>
      <c r="B422"/>
      <c r="C422" s="13"/>
      <c r="D422"/>
      <c r="E422"/>
    </row>
    <row r="423" spans="1:5" x14ac:dyDescent="0.25">
      <c r="A423"/>
      <c r="B423"/>
      <c r="C423" s="13"/>
      <c r="D423"/>
      <c r="E423"/>
    </row>
    <row r="424" spans="1:5" x14ac:dyDescent="0.25">
      <c r="A424"/>
      <c r="B424"/>
      <c r="C424" s="13"/>
      <c r="D424"/>
      <c r="E424"/>
    </row>
    <row r="425" spans="1:5" x14ac:dyDescent="0.25">
      <c r="A425"/>
      <c r="B425"/>
      <c r="C425" s="13"/>
      <c r="D425"/>
      <c r="E425"/>
    </row>
    <row r="426" spans="1:5" x14ac:dyDescent="0.25">
      <c r="A426"/>
      <c r="B426"/>
      <c r="C426" s="13"/>
      <c r="D426"/>
      <c r="E426"/>
    </row>
    <row r="427" spans="1:5" x14ac:dyDescent="0.25">
      <c r="A427"/>
      <c r="B427"/>
      <c r="C427" s="13"/>
      <c r="D427"/>
      <c r="E427"/>
    </row>
    <row r="428" spans="1:5" x14ac:dyDescent="0.25">
      <c r="A428"/>
      <c r="B428"/>
      <c r="C428" s="13"/>
      <c r="D428"/>
      <c r="E428"/>
    </row>
    <row r="429" spans="1:5" x14ac:dyDescent="0.25">
      <c r="A429"/>
      <c r="B429"/>
      <c r="C429" s="13"/>
      <c r="D429"/>
      <c r="E429"/>
    </row>
    <row r="430" spans="1:5" x14ac:dyDescent="0.25">
      <c r="A430"/>
      <c r="B430"/>
      <c r="C430" s="13"/>
      <c r="D430"/>
      <c r="E430"/>
    </row>
    <row r="431" spans="1:5" x14ac:dyDescent="0.25">
      <c r="A431"/>
      <c r="B431"/>
      <c r="C431" s="13"/>
      <c r="D431"/>
      <c r="E431"/>
    </row>
    <row r="432" spans="1:5" x14ac:dyDescent="0.25">
      <c r="A432"/>
      <c r="B432"/>
      <c r="C432" s="13"/>
      <c r="D432"/>
      <c r="E432"/>
    </row>
    <row r="433" spans="1:5" x14ac:dyDescent="0.25">
      <c r="A433"/>
      <c r="B433"/>
      <c r="C433" s="13"/>
      <c r="D433"/>
      <c r="E433"/>
    </row>
    <row r="434" spans="1:5" x14ac:dyDescent="0.25">
      <c r="A434"/>
      <c r="B434"/>
      <c r="C434" s="13"/>
      <c r="D434"/>
      <c r="E434"/>
    </row>
    <row r="435" spans="1:5" x14ac:dyDescent="0.25">
      <c r="A435"/>
      <c r="B435"/>
      <c r="C435" s="13"/>
      <c r="D435"/>
      <c r="E435"/>
    </row>
    <row r="436" spans="1:5" x14ac:dyDescent="0.25">
      <c r="A436"/>
      <c r="B436"/>
      <c r="C436" s="13"/>
      <c r="D436"/>
      <c r="E436"/>
    </row>
    <row r="437" spans="1:5" x14ac:dyDescent="0.25">
      <c r="A437"/>
      <c r="B437"/>
      <c r="C437" s="13"/>
      <c r="D437"/>
      <c r="E437"/>
    </row>
    <row r="438" spans="1:5" x14ac:dyDescent="0.25">
      <c r="A438"/>
      <c r="B438"/>
      <c r="C438" s="13"/>
      <c r="D438"/>
      <c r="E438"/>
    </row>
    <row r="439" spans="1:5" x14ac:dyDescent="0.25">
      <c r="A439"/>
      <c r="B439"/>
      <c r="C439" s="13"/>
      <c r="D439"/>
      <c r="E439"/>
    </row>
    <row r="440" spans="1:5" x14ac:dyDescent="0.25">
      <c r="A440"/>
      <c r="B440"/>
      <c r="C440" s="13"/>
      <c r="D440"/>
      <c r="E440"/>
    </row>
    <row r="441" spans="1:5" x14ac:dyDescent="0.25">
      <c r="A441"/>
      <c r="B441"/>
      <c r="C441" s="13"/>
      <c r="D441"/>
      <c r="E441"/>
    </row>
    <row r="442" spans="1:5" x14ac:dyDescent="0.25">
      <c r="A442"/>
      <c r="B442"/>
      <c r="C442" s="13"/>
      <c r="D442"/>
      <c r="E442"/>
    </row>
    <row r="443" spans="1:5" x14ac:dyDescent="0.25">
      <c r="A443"/>
      <c r="B443"/>
      <c r="C443" s="13"/>
      <c r="D443"/>
      <c r="E443"/>
    </row>
    <row r="444" spans="1:5" x14ac:dyDescent="0.25">
      <c r="A444"/>
      <c r="B444"/>
      <c r="C444" s="13"/>
      <c r="D444"/>
      <c r="E444"/>
    </row>
    <row r="445" spans="1:5" x14ac:dyDescent="0.25">
      <c r="A445"/>
      <c r="B445"/>
      <c r="C445" s="13"/>
      <c r="D445"/>
      <c r="E445"/>
    </row>
    <row r="446" spans="1:5" x14ac:dyDescent="0.25">
      <c r="A446"/>
      <c r="B446"/>
      <c r="C446" s="13"/>
      <c r="D446"/>
      <c r="E446"/>
    </row>
    <row r="447" spans="1:5" x14ac:dyDescent="0.25">
      <c r="A447"/>
      <c r="B447"/>
      <c r="C447" s="13"/>
      <c r="D447"/>
      <c r="E447"/>
    </row>
    <row r="448" spans="1:5" x14ac:dyDescent="0.25">
      <c r="A448"/>
      <c r="B448"/>
      <c r="C448" s="13"/>
      <c r="D448"/>
      <c r="E448"/>
    </row>
    <row r="449" spans="1:5" x14ac:dyDescent="0.25">
      <c r="A449"/>
      <c r="B449"/>
      <c r="C449" s="13"/>
      <c r="D449"/>
      <c r="E449"/>
    </row>
    <row r="450" spans="1:5" x14ac:dyDescent="0.25">
      <c r="A450"/>
      <c r="B450"/>
      <c r="C450" s="13"/>
      <c r="D450"/>
      <c r="E450"/>
    </row>
    <row r="451" spans="1:5" x14ac:dyDescent="0.25">
      <c r="A451"/>
      <c r="B451"/>
      <c r="C451" s="13"/>
      <c r="D451"/>
      <c r="E451"/>
    </row>
    <row r="452" spans="1:5" x14ac:dyDescent="0.25">
      <c r="A452"/>
      <c r="B452"/>
      <c r="C452" s="13"/>
      <c r="D452"/>
      <c r="E452"/>
    </row>
    <row r="453" spans="1:5" x14ac:dyDescent="0.25">
      <c r="A453"/>
      <c r="B453"/>
      <c r="C453" s="13"/>
      <c r="D453"/>
      <c r="E453"/>
    </row>
    <row r="454" spans="1:5" x14ac:dyDescent="0.25">
      <c r="A454"/>
      <c r="B454"/>
      <c r="C454" s="13"/>
      <c r="D454"/>
      <c r="E454"/>
    </row>
    <row r="455" spans="1:5" x14ac:dyDescent="0.25">
      <c r="A455"/>
      <c r="B455"/>
      <c r="C455" s="13"/>
      <c r="D455"/>
      <c r="E455"/>
    </row>
    <row r="456" spans="1:5" x14ac:dyDescent="0.25">
      <c r="A456"/>
      <c r="B456"/>
      <c r="C456" s="13"/>
      <c r="D456"/>
      <c r="E456"/>
    </row>
    <row r="457" spans="1:5" x14ac:dyDescent="0.25">
      <c r="A457"/>
      <c r="B457"/>
      <c r="C457" s="13"/>
      <c r="D457"/>
      <c r="E457"/>
    </row>
    <row r="458" spans="1:5" x14ac:dyDescent="0.25">
      <c r="A458"/>
      <c r="B458"/>
      <c r="C458" s="13"/>
      <c r="D458"/>
      <c r="E458"/>
    </row>
    <row r="459" spans="1:5" x14ac:dyDescent="0.25">
      <c r="A459"/>
      <c r="B459"/>
      <c r="C459" s="13"/>
      <c r="D459"/>
      <c r="E459"/>
    </row>
    <row r="460" spans="1:5" x14ac:dyDescent="0.25">
      <c r="A460"/>
      <c r="B460"/>
      <c r="C460" s="13"/>
      <c r="D460"/>
      <c r="E460"/>
    </row>
    <row r="461" spans="1:5" x14ac:dyDescent="0.25">
      <c r="A461"/>
      <c r="B461"/>
      <c r="C461" s="13"/>
      <c r="D461"/>
      <c r="E461"/>
    </row>
    <row r="462" spans="1:5" x14ac:dyDescent="0.25">
      <c r="A462"/>
      <c r="B462"/>
      <c r="C462" s="13"/>
      <c r="D462"/>
      <c r="E462"/>
    </row>
    <row r="463" spans="1:5" x14ac:dyDescent="0.25">
      <c r="A463"/>
      <c r="B463"/>
      <c r="C463" s="13"/>
      <c r="D463"/>
      <c r="E463"/>
    </row>
    <row r="464" spans="1:5" x14ac:dyDescent="0.25">
      <c r="A464"/>
      <c r="B464"/>
      <c r="C464" s="13"/>
      <c r="D464"/>
      <c r="E464"/>
    </row>
    <row r="465" spans="1:5" x14ac:dyDescent="0.25">
      <c r="A465"/>
      <c r="B465"/>
      <c r="C465" s="13"/>
      <c r="D465"/>
      <c r="E465"/>
    </row>
    <row r="466" spans="1:5" x14ac:dyDescent="0.25">
      <c r="A466"/>
      <c r="B466"/>
      <c r="C466" s="13"/>
      <c r="D466"/>
      <c r="E466"/>
    </row>
    <row r="467" spans="1:5" x14ac:dyDescent="0.25">
      <c r="A467"/>
      <c r="B467"/>
      <c r="C467" s="13"/>
      <c r="D467"/>
      <c r="E467"/>
    </row>
    <row r="468" spans="1:5" x14ac:dyDescent="0.25">
      <c r="A468"/>
      <c r="B468"/>
      <c r="C468" s="13"/>
      <c r="D468"/>
      <c r="E468"/>
    </row>
    <row r="469" spans="1:5" x14ac:dyDescent="0.25">
      <c r="A469"/>
      <c r="B469"/>
      <c r="C469" s="13"/>
      <c r="D469"/>
      <c r="E469"/>
    </row>
    <row r="470" spans="1:5" x14ac:dyDescent="0.25">
      <c r="A470"/>
      <c r="B470"/>
      <c r="C470" s="13"/>
      <c r="D470"/>
      <c r="E470"/>
    </row>
    <row r="471" spans="1:5" x14ac:dyDescent="0.25">
      <c r="A471"/>
      <c r="B471"/>
      <c r="C471" s="13"/>
      <c r="D471"/>
      <c r="E471"/>
    </row>
    <row r="472" spans="1:5" x14ac:dyDescent="0.25">
      <c r="A472"/>
      <c r="B472"/>
      <c r="C472" s="13"/>
      <c r="D472"/>
      <c r="E472"/>
    </row>
    <row r="473" spans="1:5" x14ac:dyDescent="0.25">
      <c r="A473"/>
      <c r="B473"/>
      <c r="C473" s="13"/>
      <c r="D473"/>
      <c r="E473"/>
    </row>
    <row r="474" spans="1:5" x14ac:dyDescent="0.25">
      <c r="A474"/>
      <c r="B474"/>
      <c r="C474" s="13"/>
      <c r="D474"/>
      <c r="E474"/>
    </row>
    <row r="475" spans="1:5" x14ac:dyDescent="0.25">
      <c r="A475"/>
      <c r="B475"/>
      <c r="C475" s="13"/>
      <c r="D475"/>
      <c r="E475"/>
    </row>
    <row r="476" spans="1:5" x14ac:dyDescent="0.25">
      <c r="A476"/>
      <c r="B476"/>
      <c r="C476" s="13"/>
      <c r="D476"/>
      <c r="E476"/>
    </row>
    <row r="477" spans="1:5" x14ac:dyDescent="0.25">
      <c r="A477"/>
      <c r="B477"/>
      <c r="C477" s="13"/>
      <c r="D477"/>
      <c r="E477"/>
    </row>
    <row r="478" spans="1:5" x14ac:dyDescent="0.25">
      <c r="A478"/>
      <c r="B478"/>
      <c r="C478" s="13"/>
      <c r="D478"/>
      <c r="E478"/>
    </row>
    <row r="479" spans="1:5" x14ac:dyDescent="0.25">
      <c r="A479"/>
      <c r="B479"/>
      <c r="C479" s="13"/>
      <c r="D479"/>
      <c r="E479"/>
    </row>
    <row r="480" spans="1:5" x14ac:dyDescent="0.25">
      <c r="A480"/>
      <c r="B480"/>
      <c r="C480" s="13"/>
      <c r="D480"/>
      <c r="E480"/>
    </row>
    <row r="481" spans="1:5" x14ac:dyDescent="0.25">
      <c r="A481"/>
      <c r="B481"/>
      <c r="C481" s="13"/>
      <c r="D481"/>
      <c r="E481"/>
    </row>
    <row r="482" spans="1:5" x14ac:dyDescent="0.25">
      <c r="A482"/>
      <c r="B482"/>
      <c r="C482" s="13"/>
      <c r="D482"/>
      <c r="E482"/>
    </row>
    <row r="483" spans="1:5" x14ac:dyDescent="0.25">
      <c r="A483"/>
      <c r="B483"/>
      <c r="C483" s="13"/>
      <c r="D483"/>
      <c r="E483"/>
    </row>
    <row r="484" spans="1:5" x14ac:dyDescent="0.25">
      <c r="A484"/>
      <c r="B484"/>
      <c r="C484" s="13"/>
      <c r="D484"/>
      <c r="E484"/>
    </row>
    <row r="485" spans="1:5" x14ac:dyDescent="0.25">
      <c r="A485"/>
      <c r="B485"/>
      <c r="C485" s="13"/>
      <c r="D485"/>
      <c r="E485"/>
    </row>
    <row r="486" spans="1:5" x14ac:dyDescent="0.25">
      <c r="A486"/>
      <c r="B486"/>
      <c r="C486" s="13"/>
      <c r="D486"/>
      <c r="E486"/>
    </row>
    <row r="487" spans="1:5" x14ac:dyDescent="0.25">
      <c r="A487"/>
      <c r="B487"/>
      <c r="C487" s="13"/>
      <c r="D487"/>
      <c r="E487"/>
    </row>
    <row r="488" spans="1:5" x14ac:dyDescent="0.25">
      <c r="A488"/>
      <c r="B488"/>
      <c r="C488" s="13"/>
      <c r="D488"/>
      <c r="E488"/>
    </row>
    <row r="489" spans="1:5" x14ac:dyDescent="0.25">
      <c r="A489"/>
      <c r="B489"/>
      <c r="C489" s="13"/>
      <c r="D489"/>
      <c r="E489"/>
    </row>
    <row r="490" spans="1:5" x14ac:dyDescent="0.25">
      <c r="A490"/>
      <c r="B490"/>
      <c r="C490" s="13"/>
      <c r="D490"/>
      <c r="E490"/>
    </row>
    <row r="491" spans="1:5" x14ac:dyDescent="0.25">
      <c r="A491"/>
      <c r="B491"/>
      <c r="C491" s="13"/>
      <c r="D491"/>
      <c r="E491"/>
    </row>
    <row r="492" spans="1:5" x14ac:dyDescent="0.25">
      <c r="A492"/>
      <c r="B492"/>
      <c r="C492" s="13"/>
      <c r="D492"/>
      <c r="E492"/>
    </row>
    <row r="493" spans="1:5" x14ac:dyDescent="0.25">
      <c r="A493"/>
      <c r="B493"/>
      <c r="C493" s="13"/>
      <c r="D493"/>
      <c r="E493"/>
    </row>
    <row r="494" spans="1:5" x14ac:dyDescent="0.25">
      <c r="A494"/>
      <c r="B494"/>
      <c r="C494" s="13"/>
      <c r="D494"/>
      <c r="E494"/>
    </row>
    <row r="495" spans="1:5" x14ac:dyDescent="0.25">
      <c r="A495"/>
      <c r="B495"/>
      <c r="C495" s="13"/>
      <c r="D495"/>
      <c r="E495"/>
    </row>
    <row r="496" spans="1:5" x14ac:dyDescent="0.25">
      <c r="A496"/>
      <c r="B496"/>
      <c r="C496" s="13"/>
      <c r="D496"/>
      <c r="E496"/>
    </row>
    <row r="497" spans="1:5" x14ac:dyDescent="0.25">
      <c r="A497"/>
      <c r="B497"/>
      <c r="C497" s="13"/>
      <c r="D497"/>
      <c r="E497"/>
    </row>
    <row r="498" spans="1:5" x14ac:dyDescent="0.25">
      <c r="A498"/>
      <c r="B498"/>
      <c r="C498" s="13"/>
      <c r="D498"/>
      <c r="E498"/>
    </row>
    <row r="499" spans="1:5" x14ac:dyDescent="0.25">
      <c r="A499"/>
      <c r="B499"/>
      <c r="C499" s="13"/>
      <c r="D499"/>
      <c r="E499"/>
    </row>
    <row r="500" spans="1:5" x14ac:dyDescent="0.25">
      <c r="A500"/>
      <c r="B500"/>
      <c r="C500" s="13"/>
      <c r="D500"/>
      <c r="E500"/>
    </row>
    <row r="501" spans="1:5" x14ac:dyDescent="0.25">
      <c r="A501"/>
      <c r="B501"/>
      <c r="C501" s="13"/>
      <c r="D501"/>
      <c r="E501"/>
    </row>
    <row r="502" spans="1:5" x14ac:dyDescent="0.25">
      <c r="A502"/>
      <c r="B502"/>
      <c r="C502" s="13"/>
      <c r="D502"/>
      <c r="E502"/>
    </row>
    <row r="503" spans="1:5" x14ac:dyDescent="0.25">
      <c r="A503"/>
      <c r="B503"/>
      <c r="C503" s="13"/>
      <c r="D503"/>
      <c r="E503"/>
    </row>
    <row r="504" spans="1:5" x14ac:dyDescent="0.25">
      <c r="A504"/>
      <c r="B504"/>
      <c r="C504" s="13"/>
      <c r="D504"/>
      <c r="E504"/>
    </row>
    <row r="505" spans="1:5" x14ac:dyDescent="0.25">
      <c r="A505"/>
      <c r="B505"/>
      <c r="C505" s="13"/>
      <c r="D505"/>
      <c r="E505"/>
    </row>
    <row r="506" spans="1:5" x14ac:dyDescent="0.25">
      <c r="A506"/>
      <c r="B506"/>
      <c r="C506" s="13"/>
      <c r="D506"/>
      <c r="E506"/>
    </row>
    <row r="507" spans="1:5" x14ac:dyDescent="0.25">
      <c r="A507"/>
      <c r="B507"/>
      <c r="C507" s="13"/>
      <c r="D507"/>
      <c r="E507"/>
    </row>
  </sheetData>
  <mergeCells count="1">
    <mergeCell ref="A6:G6"/>
  </mergeCells>
  <pageMargins left="0.7" right="0.7" top="0.75" bottom="0.75" header="0.3" footer="0.3"/>
  <pageSetup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SharedWithUsers xmlns="fe0c8645-50e8-4d1c-9619-18f6711c10fa">
      <UserInfo>
        <DisplayName>Jonathan Christian Aguila Vera</DisplayName>
        <AccountId>15</AccountId>
        <AccountType/>
      </UserInfo>
    </SharedWithUsers>
    <lcf76f155ced4ddcb4097134ff3c332f xmlns="02159d6b-bb60-48c1-8afd-eea754380fce">
      <Terms xmlns="http://schemas.microsoft.com/office/infopath/2007/PartnerControls"/>
    </lcf76f155ced4ddcb4097134ff3c332f>
    <TaxCatchAll xmlns="fe0c8645-50e8-4d1c-9619-18f6711c10fa"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AE660D5AAAAC04DB2ACE78466F0D866" ma:contentTypeVersion="13" ma:contentTypeDescription="Create a new document." ma:contentTypeScope="" ma:versionID="41ae6f3e29f6400a21ccb94bf9d778b8">
  <xsd:schema xmlns:xsd="http://www.w3.org/2001/XMLSchema" xmlns:xs="http://www.w3.org/2001/XMLSchema" xmlns:p="http://schemas.microsoft.com/office/2006/metadata/properties" xmlns:ns2="02159d6b-bb60-48c1-8afd-eea754380fce" xmlns:ns3="fe0c8645-50e8-4d1c-9619-18f6711c10fa" targetNamespace="http://schemas.microsoft.com/office/2006/metadata/properties" ma:root="true" ma:fieldsID="0e01a2305739ebe92073687eeaa5e3b0" ns2:_="" ns3:_="">
    <xsd:import namespace="02159d6b-bb60-48c1-8afd-eea754380fce"/>
    <xsd:import namespace="fe0c8645-50e8-4d1c-9619-18f6711c10f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159d6b-bb60-48c1-8afd-eea754380fc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f0615288-da38-4d1e-a60c-b265fd7795f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e0c8645-50e8-4d1c-9619-18f6711c10fa"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c78eeee-ac5c-494d-aba0-75c0d8536024}" ma:internalName="TaxCatchAll" ma:showField="CatchAllData" ma:web="fe0c8645-50e8-4d1c-9619-18f6711c10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DC1AB08-F06D-4202-B6E0-763D2927CF28}">
  <ds:schemaRefs>
    <ds:schemaRef ds:uri="http://schemas.microsoft.com/office/2006/metadata/properties"/>
    <ds:schemaRef ds:uri="174ba2a5-bc73-49ea-906d-a1973f824e8c"/>
    <ds:schemaRef ds:uri="fe0c8645-50e8-4d1c-9619-18f6711c10fa"/>
    <ds:schemaRef ds:uri="02159d6b-bb60-48c1-8afd-eea754380fce"/>
    <ds:schemaRef ds:uri="http://schemas.microsoft.com/office/infopath/2007/PartnerControls"/>
  </ds:schemaRefs>
</ds:datastoreItem>
</file>

<file path=customXml/itemProps2.xml><?xml version="1.0" encoding="utf-8"?>
<ds:datastoreItem xmlns:ds="http://schemas.openxmlformats.org/officeDocument/2006/customXml" ds:itemID="{D836ABDD-EBD6-48AC-8F85-9F8A6D252C9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159d6b-bb60-48c1-8afd-eea754380fce"/>
    <ds:schemaRef ds:uri="fe0c8645-50e8-4d1c-9619-18f6711c1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38D91A-FB68-4E57-A1DD-4901C50AE57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Script de Pruebas Integrales</vt:lpstr>
      <vt:lpstr>1.-Script de pruebas</vt:lpstr>
      <vt:lpstr>Análisis</vt:lpstr>
      <vt:lpstr>Análisis de Resultados</vt:lpstr>
      <vt:lpstr>Resumen de Tiempo Estimado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4.1 Script de Pruebas Integrales</dc:title>
  <dc:subject>4.1 Script de Pruebas Integrales</dc:subject>
  <dc:creator>Fernando Angelares Vera</dc:creator>
  <cp:keywords/>
  <dc:description/>
  <cp:lastModifiedBy>Rocío Acoltzi Muñoz</cp:lastModifiedBy>
  <cp:revision/>
  <dcterms:created xsi:type="dcterms:W3CDTF">2007-06-19T06:34:21Z</dcterms:created>
  <dcterms:modified xsi:type="dcterms:W3CDTF">2026-09-08T16:29:24Z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0x0101009AE660D5AAAAC04DB2ACE78466F0D866</vt:lpwstr>
  </property>
  <property fmtid="{D5CDD505-2E9C-101B-9397-08002B2CF9AE}" pid="3" name="Order">
    <vt:r8>20700</vt:r8>
  </property>
  <property fmtid="{D5CDD505-2E9C-101B-9397-08002B2CF9AE}" pid="4" name="Participants">
    <vt:lpwstr>Consulting - Application ConsultantCustomer – Project ManagerCustomer – Key User</vt:lpwstr>
  </property>
  <property fmtid="{D5CDD505-2E9C-101B-9397-08002B2CF9AE}" pid="5" name="Phase">
    <vt:lpwstr>Other</vt:lpwstr>
  </property>
  <property fmtid="{D5CDD505-2E9C-101B-9397-08002B2CF9AE}" pid="6" name="Product">
    <vt:lpwstr>AXGPNAVSLCRM</vt:lpwstr>
  </property>
  <property fmtid="{D5CDD505-2E9C-101B-9397-08002B2CF9AE}" pid="7" name="Deliverable">
    <vt:lpwstr>false</vt:lpwstr>
  </property>
  <property fmtid="{D5CDD505-2E9C-101B-9397-08002B2CF9AE}" pid="8" name="Status">
    <vt:lpwstr>Packaged for TAP</vt:lpwstr>
  </property>
  <property fmtid="{D5CDD505-2E9C-101B-9397-08002B2CF9AE}" pid="9" name="Author0">
    <vt:lpwstr>Mark Holloway13</vt:lpwstr>
  </property>
  <property fmtid="{D5CDD505-2E9C-101B-9397-08002B2CF9AE}" pid="10" name="Document Type">
    <vt:lpwstr>Tool/Template</vt:lpwstr>
  </property>
  <property fmtid="{D5CDD505-2E9C-101B-9397-08002B2CF9AE}" pid="11" name="Project Type">
    <vt:lpwstr>EnterpriseStandardMajor Upgrade</vt:lpwstr>
  </property>
  <property fmtid="{D5CDD505-2E9C-101B-9397-08002B2CF9AE}" pid="12" name="File Group">
    <vt:lpwstr>2.6.2</vt:lpwstr>
  </property>
  <property fmtid="{D5CDD505-2E9C-101B-9397-08002B2CF9AE}" pid="13" name="Owner">
    <vt:lpwstr>Consulting - Tester</vt:lpwstr>
  </property>
  <property fmtid="{D5CDD505-2E9C-101B-9397-08002B2CF9AE}" pid="14" name="MediaServiceImageTags">
    <vt:lpwstr/>
  </property>
</Properties>
</file>